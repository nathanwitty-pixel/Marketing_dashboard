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nat\Desktop\Marketing_dashboard\"/>
    </mc:Choice>
  </mc:AlternateContent>
  <xr:revisionPtr revIDLastSave="0" documentId="13_ncr:1_{F7E84218-DD9C-4038-9D9E-A7B9309DE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hod" sheetId="1" r:id="rId1"/>
    <sheet name="Inputs" sheetId="2" r:id="rId2"/>
    <sheet name="Bag targ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2" i="3" l="1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I132" i="3" s="1"/>
  <c r="J132" i="3" s="1"/>
  <c r="G132" i="3"/>
  <c r="H131" i="3"/>
  <c r="I131" i="3" s="1"/>
  <c r="J131" i="3" s="1"/>
  <c r="G131" i="3"/>
  <c r="H130" i="3"/>
  <c r="I130" i="3" s="1"/>
  <c r="J130" i="3" s="1"/>
  <c r="G130" i="3"/>
  <c r="H129" i="3"/>
  <c r="I129" i="3" s="1"/>
  <c r="J129" i="3" s="1"/>
  <c r="G129" i="3"/>
  <c r="H128" i="3"/>
  <c r="I128" i="3" s="1"/>
  <c r="J128" i="3" s="1"/>
  <c r="G128" i="3"/>
  <c r="H127" i="3"/>
  <c r="I127" i="3" s="1"/>
  <c r="J127" i="3" s="1"/>
  <c r="G127" i="3"/>
  <c r="H126" i="3"/>
  <c r="I126" i="3" s="1"/>
  <c r="J126" i="3" s="1"/>
  <c r="G126" i="3"/>
  <c r="H125" i="3"/>
  <c r="I125" i="3" s="1"/>
  <c r="J125" i="3" s="1"/>
  <c r="G125" i="3"/>
  <c r="I124" i="3"/>
  <c r="J124" i="3" s="1"/>
  <c r="H124" i="3"/>
  <c r="G124" i="3"/>
  <c r="H123" i="3"/>
  <c r="I123" i="3" s="1"/>
  <c r="J123" i="3" s="1"/>
  <c r="G123" i="3"/>
  <c r="H122" i="3"/>
  <c r="I122" i="3" s="1"/>
  <c r="J122" i="3" s="1"/>
  <c r="G122" i="3"/>
  <c r="H121" i="3"/>
  <c r="I121" i="3" s="1"/>
  <c r="J121" i="3" s="1"/>
  <c r="G121" i="3"/>
  <c r="H120" i="3"/>
  <c r="G120" i="3"/>
  <c r="H119" i="3"/>
  <c r="I119" i="3" s="1"/>
  <c r="J119" i="3" s="1"/>
  <c r="G119" i="3"/>
  <c r="H118" i="3"/>
  <c r="I118" i="3" s="1"/>
  <c r="J118" i="3" s="1"/>
  <c r="G118" i="3"/>
  <c r="H117" i="3"/>
  <c r="I117" i="3" s="1"/>
  <c r="J117" i="3" s="1"/>
  <c r="G117" i="3"/>
  <c r="H116" i="3"/>
  <c r="I116" i="3" s="1"/>
  <c r="J116" i="3" s="1"/>
  <c r="G116" i="3"/>
  <c r="H115" i="3"/>
  <c r="G115" i="3"/>
  <c r="H114" i="3"/>
  <c r="I114" i="3" s="1"/>
  <c r="J114" i="3" s="1"/>
  <c r="G114" i="3"/>
  <c r="H113" i="3"/>
  <c r="I113" i="3" s="1"/>
  <c r="J113" i="3" s="1"/>
  <c r="G113" i="3"/>
  <c r="H112" i="3"/>
  <c r="I112" i="3" s="1"/>
  <c r="J112" i="3" s="1"/>
  <c r="G112" i="3"/>
  <c r="H111" i="3"/>
  <c r="I111" i="3" s="1"/>
  <c r="J111" i="3" s="1"/>
  <c r="G111" i="3"/>
  <c r="H110" i="3"/>
  <c r="I110" i="3" s="1"/>
  <c r="J110" i="3" s="1"/>
  <c r="G110" i="3"/>
  <c r="H109" i="3"/>
  <c r="G109" i="3"/>
  <c r="H108" i="3"/>
  <c r="I108" i="3" s="1"/>
  <c r="J108" i="3" s="1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I97" i="3" s="1"/>
  <c r="J97" i="3" s="1"/>
  <c r="G97" i="3"/>
  <c r="H96" i="3"/>
  <c r="I96" i="3" s="1"/>
  <c r="J96" i="3" s="1"/>
  <c r="G96" i="3"/>
  <c r="H95" i="3"/>
  <c r="I95" i="3" s="1"/>
  <c r="J95" i="3" s="1"/>
  <c r="G95" i="3"/>
  <c r="H94" i="3"/>
  <c r="I94" i="3" s="1"/>
  <c r="J94" i="3" s="1"/>
  <c r="G94" i="3"/>
  <c r="H93" i="3"/>
  <c r="I93" i="3" s="1"/>
  <c r="J93" i="3" s="1"/>
  <c r="G93" i="3"/>
  <c r="H92" i="3"/>
  <c r="I92" i="3" s="1"/>
  <c r="J92" i="3" s="1"/>
  <c r="G92" i="3"/>
  <c r="H91" i="3"/>
  <c r="I91" i="3" s="1"/>
  <c r="J91" i="3" s="1"/>
  <c r="G91" i="3"/>
  <c r="H90" i="3"/>
  <c r="I90" i="3" s="1"/>
  <c r="J90" i="3" s="1"/>
  <c r="G90" i="3"/>
  <c r="H89" i="3"/>
  <c r="G89" i="3"/>
  <c r="H88" i="3"/>
  <c r="I88" i="3" s="1"/>
  <c r="J88" i="3" s="1"/>
  <c r="G88" i="3"/>
  <c r="H87" i="3"/>
  <c r="G87" i="3"/>
  <c r="H86" i="3"/>
  <c r="I86" i="3" s="1"/>
  <c r="J86" i="3" s="1"/>
  <c r="G86" i="3"/>
  <c r="P85" i="3"/>
  <c r="H85" i="3"/>
  <c r="I85" i="3" s="1"/>
  <c r="J85" i="3" s="1"/>
  <c r="G85" i="3"/>
  <c r="H84" i="3"/>
  <c r="I84" i="3" s="1"/>
  <c r="J84" i="3" s="1"/>
  <c r="G84" i="3"/>
  <c r="H83" i="3"/>
  <c r="I83" i="3" s="1"/>
  <c r="J83" i="3" s="1"/>
  <c r="G83" i="3"/>
  <c r="H82" i="3"/>
  <c r="G82" i="3"/>
  <c r="H81" i="3"/>
  <c r="G81" i="3"/>
  <c r="H80" i="3"/>
  <c r="G80" i="3"/>
  <c r="H79" i="3"/>
  <c r="I79" i="3" s="1"/>
  <c r="J79" i="3" s="1"/>
  <c r="G79" i="3"/>
  <c r="H78" i="3"/>
  <c r="G78" i="3"/>
  <c r="H77" i="3"/>
  <c r="I77" i="3" s="1"/>
  <c r="J77" i="3" s="1"/>
  <c r="G77" i="3"/>
  <c r="P76" i="3"/>
  <c r="H76" i="3"/>
  <c r="I76" i="3" s="1"/>
  <c r="J76" i="3" s="1"/>
  <c r="G76" i="3"/>
  <c r="H75" i="3"/>
  <c r="I75" i="3" s="1"/>
  <c r="J75" i="3" s="1"/>
  <c r="G75" i="3"/>
  <c r="H74" i="3"/>
  <c r="I74" i="3" s="1"/>
  <c r="J74" i="3" s="1"/>
  <c r="G74" i="3"/>
  <c r="H73" i="3"/>
  <c r="G73" i="3"/>
  <c r="H72" i="3"/>
  <c r="G72" i="3"/>
  <c r="H71" i="3"/>
  <c r="I71" i="3" s="1"/>
  <c r="J71" i="3" s="1"/>
  <c r="G71" i="3"/>
  <c r="H70" i="3"/>
  <c r="I70" i="3" s="1"/>
  <c r="J70" i="3" s="1"/>
  <c r="G70" i="3"/>
  <c r="H69" i="3"/>
  <c r="I69" i="3" s="1"/>
  <c r="J69" i="3" s="1"/>
  <c r="G69" i="3"/>
  <c r="H68" i="3"/>
  <c r="I68" i="3" s="1"/>
  <c r="J68" i="3" s="1"/>
  <c r="G68" i="3"/>
  <c r="H67" i="3"/>
  <c r="I67" i="3" s="1"/>
  <c r="J67" i="3" s="1"/>
  <c r="G67" i="3"/>
  <c r="H66" i="3"/>
  <c r="I66" i="3" s="1"/>
  <c r="J66" i="3" s="1"/>
  <c r="G66" i="3"/>
  <c r="H65" i="3"/>
  <c r="I65" i="3" s="1"/>
  <c r="J65" i="3" s="1"/>
  <c r="G65" i="3"/>
  <c r="H64" i="3"/>
  <c r="I64" i="3" s="1"/>
  <c r="J64" i="3" s="1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G142" i="3" s="1"/>
  <c r="C9" i="2"/>
  <c r="C7" i="2"/>
  <c r="C4" i="2"/>
  <c r="C23" i="1" s="1"/>
  <c r="C19" i="1"/>
  <c r="I141" i="3" l="1"/>
  <c r="J141" i="3" s="1"/>
  <c r="I140" i="3"/>
  <c r="J140" i="3" s="1"/>
  <c r="I139" i="3"/>
  <c r="J139" i="3" s="1"/>
  <c r="I138" i="3"/>
  <c r="J138" i="3" s="1"/>
  <c r="I137" i="3"/>
  <c r="J137" i="3" s="1"/>
  <c r="I136" i="3"/>
  <c r="J136" i="3" s="1"/>
  <c r="I135" i="3"/>
  <c r="J135" i="3" s="1"/>
  <c r="I134" i="3"/>
  <c r="J134" i="3" s="1"/>
  <c r="I120" i="3"/>
  <c r="J120" i="3" s="1"/>
  <c r="I107" i="3"/>
  <c r="J107" i="3" s="1"/>
  <c r="I61" i="3"/>
  <c r="J61" i="3" s="1"/>
  <c r="I46" i="3"/>
  <c r="J46" i="3" s="1"/>
  <c r="I25" i="3"/>
  <c r="J25" i="3" s="1"/>
  <c r="I17" i="3"/>
  <c r="J17" i="3" s="1"/>
  <c r="I115" i="3"/>
  <c r="J115" i="3" s="1"/>
  <c r="I109" i="3"/>
  <c r="J109" i="3" s="1"/>
  <c r="I99" i="3"/>
  <c r="J99" i="3" s="1"/>
  <c r="I57" i="3"/>
  <c r="J57" i="3" s="1"/>
  <c r="I48" i="3"/>
  <c r="J48" i="3" s="1"/>
  <c r="I32" i="3"/>
  <c r="J32" i="3" s="1"/>
  <c r="I23" i="3"/>
  <c r="J23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59" i="3"/>
  <c r="J59" i="3" s="1"/>
  <c r="I49" i="3"/>
  <c r="J49" i="3" s="1"/>
  <c r="I36" i="3"/>
  <c r="J36" i="3" s="1"/>
  <c r="I27" i="3"/>
  <c r="J27" i="3" s="1"/>
  <c r="I21" i="3"/>
  <c r="J21" i="3" s="1"/>
  <c r="I13" i="3"/>
  <c r="J13" i="3" s="1"/>
  <c r="I58" i="3"/>
  <c r="J58" i="3" s="1"/>
  <c r="I30" i="3"/>
  <c r="J30" i="3" s="1"/>
  <c r="I15" i="3"/>
  <c r="J15" i="3" s="1"/>
  <c r="I87" i="3"/>
  <c r="J87" i="3" s="1"/>
  <c r="I60" i="3"/>
  <c r="J60" i="3" s="1"/>
  <c r="I55" i="3"/>
  <c r="J55" i="3" s="1"/>
  <c r="I19" i="3"/>
  <c r="J19" i="3" s="1"/>
  <c r="I80" i="3"/>
  <c r="J80" i="3" s="1"/>
  <c r="I78" i="3"/>
  <c r="J78" i="3" s="1"/>
  <c r="I54" i="3"/>
  <c r="J54" i="3" s="1"/>
  <c r="I31" i="3"/>
  <c r="J31" i="3" s="1"/>
  <c r="I18" i="3"/>
  <c r="J18" i="3" s="1"/>
  <c r="I63" i="3"/>
  <c r="J63" i="3" s="1"/>
  <c r="I62" i="3"/>
  <c r="J62" i="3" s="1"/>
  <c r="I56" i="3"/>
  <c r="J56" i="3" s="1"/>
  <c r="I47" i="3"/>
  <c r="J47" i="3" s="1"/>
  <c r="I26" i="3"/>
  <c r="J26" i="3" s="1"/>
  <c r="I20" i="3"/>
  <c r="J20" i="3" s="1"/>
  <c r="I12" i="3"/>
  <c r="J12" i="3" s="1"/>
  <c r="I53" i="3"/>
  <c r="J53" i="3" s="1"/>
  <c r="I52" i="3"/>
  <c r="J52" i="3" s="1"/>
  <c r="I51" i="3"/>
  <c r="J51" i="3" s="1"/>
  <c r="I50" i="3"/>
  <c r="J50" i="3" s="1"/>
  <c r="I22" i="3"/>
  <c r="J22" i="3" s="1"/>
  <c r="I14" i="3"/>
  <c r="J14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24" i="3"/>
  <c r="J24" i="3" s="1"/>
  <c r="I16" i="3"/>
  <c r="J16" i="3" s="1"/>
  <c r="I10" i="3"/>
  <c r="J10" i="3" s="1"/>
  <c r="I35" i="3"/>
  <c r="J35" i="3" s="1"/>
  <c r="I34" i="3"/>
  <c r="J34" i="3" s="1"/>
  <c r="I33" i="3"/>
  <c r="J33" i="3" s="1"/>
  <c r="I28" i="3"/>
  <c r="J28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I37" i="3"/>
  <c r="J37" i="3" s="1"/>
  <c r="I133" i="3"/>
  <c r="J133" i="3" s="1"/>
  <c r="I98" i="3"/>
  <c r="J98" i="3" s="1"/>
  <c r="I11" i="3"/>
  <c r="J11" i="3" s="1"/>
  <c r="I89" i="3"/>
  <c r="J89" i="3" s="1"/>
  <c r="I82" i="3"/>
  <c r="J82" i="3" s="1"/>
  <c r="I72" i="3"/>
  <c r="J72" i="3" s="1"/>
  <c r="I81" i="3"/>
  <c r="J81" i="3" s="1"/>
  <c r="I73" i="3"/>
  <c r="J73" i="3" s="1"/>
  <c r="I29" i="3"/>
  <c r="J29" i="3" s="1"/>
  <c r="J3" i="3"/>
  <c r="C20" i="1"/>
  <c r="K117" i="3" l="1"/>
  <c r="L117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21" i="3"/>
  <c r="L121" i="3" s="1"/>
  <c r="K37" i="3"/>
  <c r="L37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01" i="3"/>
  <c r="L101" i="3" s="1"/>
  <c r="K21" i="3"/>
  <c r="L21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116" i="3"/>
  <c r="L116" i="3" s="1"/>
  <c r="K22" i="3"/>
  <c r="L22" i="3" s="1"/>
  <c r="K42" i="3"/>
  <c r="L42" i="3" s="1"/>
  <c r="K44" i="3"/>
  <c r="L44" i="3" s="1"/>
  <c r="K45" i="3"/>
  <c r="L45" i="3" s="1"/>
  <c r="K20" i="3"/>
  <c r="L20" i="3" s="1"/>
  <c r="K40" i="3"/>
  <c r="L40" i="3" s="1"/>
  <c r="K46" i="3"/>
  <c r="L46" i="3" s="1"/>
  <c r="K49" i="3"/>
  <c r="L49" i="3" s="1"/>
  <c r="K53" i="3"/>
  <c r="L53" i="3" s="1"/>
  <c r="K55" i="3"/>
  <c r="L55" i="3" s="1"/>
  <c r="K58" i="3"/>
  <c r="L58" i="3" s="1"/>
  <c r="K59" i="3"/>
  <c r="L59" i="3" s="1"/>
  <c r="K60" i="3"/>
  <c r="L60" i="3" s="1"/>
  <c r="K61" i="3"/>
  <c r="L61" i="3" s="1"/>
  <c r="K62" i="3"/>
  <c r="L62" i="3" s="1"/>
  <c r="K119" i="3"/>
  <c r="L119" i="3" s="1"/>
  <c r="K38" i="3"/>
  <c r="L38" i="3" s="1"/>
  <c r="K43" i="3"/>
  <c r="L43" i="3" s="1"/>
  <c r="K50" i="3"/>
  <c r="L50" i="3" s="1"/>
  <c r="K54" i="3"/>
  <c r="L54" i="3" s="1"/>
  <c r="K63" i="3"/>
  <c r="L63" i="3" s="1"/>
  <c r="K64" i="3"/>
  <c r="L64" i="3" s="1"/>
  <c r="K65" i="3"/>
  <c r="L65" i="3" s="1"/>
  <c r="K66" i="3"/>
  <c r="L66" i="3" s="1"/>
  <c r="K67" i="3"/>
  <c r="L67" i="3" s="1"/>
  <c r="K68" i="3"/>
  <c r="L68" i="3" s="1"/>
  <c r="K69" i="3"/>
  <c r="L69" i="3" s="1"/>
  <c r="K70" i="3"/>
  <c r="L70" i="3" s="1"/>
  <c r="K71" i="3"/>
  <c r="L71" i="3" s="1"/>
  <c r="K120" i="3"/>
  <c r="L120" i="3" s="1"/>
  <c r="K36" i="3"/>
  <c r="L36" i="3" s="1"/>
  <c r="K41" i="3"/>
  <c r="L41" i="3" s="1"/>
  <c r="K48" i="3"/>
  <c r="L48" i="3" s="1"/>
  <c r="K52" i="3"/>
  <c r="L52" i="3" s="1"/>
  <c r="K57" i="3"/>
  <c r="L57" i="3" s="1"/>
  <c r="K72" i="3"/>
  <c r="L72" i="3" s="1"/>
  <c r="K75" i="3"/>
  <c r="L75" i="3" s="1"/>
  <c r="K77" i="3"/>
  <c r="L77" i="3" s="1"/>
  <c r="K78" i="3"/>
  <c r="L78" i="3" s="1"/>
  <c r="K79" i="3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98" i="3"/>
  <c r="L98" i="3" s="1"/>
  <c r="K19" i="3"/>
  <c r="L19" i="3" s="1"/>
  <c r="K39" i="3"/>
  <c r="L39" i="3" s="1"/>
  <c r="K47" i="3"/>
  <c r="L47" i="3" s="1"/>
  <c r="K51" i="3"/>
  <c r="L51" i="3" s="1"/>
  <c r="K56" i="3"/>
  <c r="L56" i="3" s="1"/>
  <c r="K73" i="3"/>
  <c r="L73" i="3" s="1"/>
  <c r="K74" i="3"/>
  <c r="L74" i="3" s="1"/>
  <c r="K76" i="3"/>
  <c r="L76" i="3" s="1"/>
  <c r="K89" i="3"/>
  <c r="L89" i="3" s="1"/>
  <c r="K90" i="3"/>
  <c r="L90" i="3" s="1"/>
  <c r="K91" i="3"/>
  <c r="L91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100" i="3"/>
  <c r="L100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99" i="3"/>
  <c r="L99" i="3" s="1"/>
  <c r="K118" i="3"/>
  <c r="L118" i="3" s="1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3" i="3"/>
  <c r="C21" i="1"/>
  <c r="J142" i="3"/>
  <c r="X117" i="3" l="1"/>
  <c r="X4" i="3"/>
  <c r="X5" i="3"/>
  <c r="X6" i="3"/>
  <c r="X7" i="3"/>
  <c r="X8" i="3"/>
  <c r="X9" i="3"/>
  <c r="X121" i="3"/>
  <c r="X37" i="3"/>
  <c r="X10" i="3"/>
  <c r="X11" i="3"/>
  <c r="X12" i="3"/>
  <c r="X13" i="3"/>
  <c r="X14" i="3"/>
  <c r="X15" i="3"/>
  <c r="X16" i="3"/>
  <c r="X17" i="3"/>
  <c r="X18" i="3"/>
  <c r="X101" i="3"/>
  <c r="X21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116" i="3"/>
  <c r="X22" i="3"/>
  <c r="X42" i="3"/>
  <c r="X44" i="3"/>
  <c r="X45" i="3"/>
  <c r="X20" i="3"/>
  <c r="X40" i="3"/>
  <c r="X46" i="3"/>
  <c r="X49" i="3"/>
  <c r="X53" i="3"/>
  <c r="X55" i="3"/>
  <c r="X58" i="3"/>
  <c r="X59" i="3"/>
  <c r="X60" i="3"/>
  <c r="X61" i="3"/>
  <c r="X62" i="3"/>
  <c r="X119" i="3"/>
  <c r="X38" i="3"/>
  <c r="X43" i="3"/>
  <c r="X50" i="3"/>
  <c r="X54" i="3"/>
  <c r="X63" i="3"/>
  <c r="X64" i="3"/>
  <c r="X65" i="3"/>
  <c r="X66" i="3"/>
  <c r="X67" i="3"/>
  <c r="X68" i="3"/>
  <c r="X69" i="3"/>
  <c r="X70" i="3"/>
  <c r="X71" i="3"/>
  <c r="X120" i="3"/>
  <c r="X36" i="3"/>
  <c r="X41" i="3"/>
  <c r="X48" i="3"/>
  <c r="X52" i="3"/>
  <c r="X57" i="3"/>
  <c r="X72" i="3"/>
  <c r="X75" i="3"/>
  <c r="X77" i="3"/>
  <c r="X78" i="3"/>
  <c r="X79" i="3"/>
  <c r="X80" i="3"/>
  <c r="X81" i="3"/>
  <c r="X82" i="3"/>
  <c r="X83" i="3"/>
  <c r="X84" i="3"/>
  <c r="X85" i="3"/>
  <c r="X86" i="3"/>
  <c r="X87" i="3"/>
  <c r="X88" i="3"/>
  <c r="X98" i="3"/>
  <c r="X19" i="3"/>
  <c r="X39" i="3"/>
  <c r="X47" i="3"/>
  <c r="X51" i="3"/>
  <c r="X56" i="3"/>
  <c r="X73" i="3"/>
  <c r="X74" i="3"/>
  <c r="X76" i="3"/>
  <c r="X89" i="3"/>
  <c r="X90" i="3"/>
  <c r="X91" i="3"/>
  <c r="X92" i="3"/>
  <c r="X93" i="3"/>
  <c r="X94" i="3"/>
  <c r="X95" i="3"/>
  <c r="X96" i="3"/>
  <c r="X97" i="3"/>
  <c r="X100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99" i="3"/>
  <c r="X118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L3" i="3"/>
  <c r="C22" i="1"/>
  <c r="K142" i="3"/>
  <c r="X3" i="3" l="1"/>
  <c r="M3" i="3" s="1"/>
  <c r="C24" i="1"/>
  <c r="L142" i="3"/>
  <c r="M14" i="3" l="1"/>
  <c r="N14" i="3" s="1"/>
  <c r="P14" i="3" s="1"/>
  <c r="M121" i="3"/>
  <c r="N121" i="3" s="1"/>
  <c r="P121" i="3" s="1"/>
  <c r="M134" i="3"/>
  <c r="N134" i="3" s="1"/>
  <c r="P134" i="3" s="1"/>
  <c r="M133" i="3"/>
  <c r="N133" i="3" s="1"/>
  <c r="P133" i="3" s="1"/>
  <c r="M132" i="3"/>
  <c r="N132" i="3" s="1"/>
  <c r="P132" i="3" s="1"/>
  <c r="M131" i="3"/>
  <c r="N131" i="3" s="1"/>
  <c r="P131" i="3" s="1"/>
  <c r="M130" i="3"/>
  <c r="N130" i="3" s="1"/>
  <c r="P130" i="3" s="1"/>
  <c r="M129" i="3"/>
  <c r="N129" i="3" s="1"/>
  <c r="P129" i="3" s="1"/>
  <c r="M128" i="3"/>
  <c r="N128" i="3" s="1"/>
  <c r="P128" i="3" s="1"/>
  <c r="M127" i="3"/>
  <c r="N127" i="3" s="1"/>
  <c r="P127" i="3" s="1"/>
  <c r="M126" i="3"/>
  <c r="N126" i="3" s="1"/>
  <c r="P126" i="3" s="1"/>
  <c r="M113" i="3"/>
  <c r="N113" i="3" s="1"/>
  <c r="P113" i="3" s="1"/>
  <c r="M11" i="3"/>
  <c r="N11" i="3" s="1"/>
  <c r="P11" i="3" s="1"/>
  <c r="M6" i="3"/>
  <c r="N6" i="3" s="1"/>
  <c r="P6" i="3" s="1"/>
  <c r="M140" i="3"/>
  <c r="N140" i="3" s="1"/>
  <c r="P140" i="3" s="1"/>
  <c r="M122" i="3"/>
  <c r="N122" i="3" s="1"/>
  <c r="P122" i="3" s="1"/>
  <c r="M118" i="3"/>
  <c r="N118" i="3" s="1"/>
  <c r="P118" i="3" s="1"/>
  <c r="M99" i="3"/>
  <c r="N99" i="3" s="1"/>
  <c r="P99" i="3" s="1"/>
  <c r="M115" i="3"/>
  <c r="N115" i="3" s="1"/>
  <c r="P115" i="3" s="1"/>
  <c r="M114" i="3"/>
  <c r="N114" i="3" s="1"/>
  <c r="P114" i="3" s="1"/>
  <c r="M112" i="3"/>
  <c r="N112" i="3" s="1"/>
  <c r="P112" i="3" s="1"/>
  <c r="M111" i="3"/>
  <c r="N111" i="3" s="1"/>
  <c r="P111" i="3" s="1"/>
  <c r="M110" i="3"/>
  <c r="N110" i="3" s="1"/>
  <c r="P110" i="3" s="1"/>
  <c r="M109" i="3"/>
  <c r="N109" i="3" s="1"/>
  <c r="P109" i="3" s="1"/>
  <c r="M108" i="3"/>
  <c r="N108" i="3" s="1"/>
  <c r="P108" i="3" s="1"/>
  <c r="M107" i="3"/>
  <c r="N107" i="3" s="1"/>
  <c r="P107" i="3" s="1"/>
  <c r="M106" i="3"/>
  <c r="N106" i="3" s="1"/>
  <c r="P106" i="3" s="1"/>
  <c r="M105" i="3"/>
  <c r="N105" i="3" s="1"/>
  <c r="P105" i="3" s="1"/>
  <c r="M104" i="3"/>
  <c r="N104" i="3" s="1"/>
  <c r="P104" i="3" s="1"/>
  <c r="M92" i="3"/>
  <c r="N92" i="3" s="1"/>
  <c r="P92" i="3" s="1"/>
  <c r="M47" i="3"/>
  <c r="N47" i="3" s="1"/>
  <c r="P47" i="3" s="1"/>
  <c r="M13" i="3"/>
  <c r="N13" i="3" s="1"/>
  <c r="P13" i="3" s="1"/>
  <c r="M138" i="3"/>
  <c r="N138" i="3" s="1"/>
  <c r="P138" i="3" s="1"/>
  <c r="M96" i="3"/>
  <c r="N96" i="3" s="1"/>
  <c r="P96" i="3" s="1"/>
  <c r="M93" i="3"/>
  <c r="N93" i="3" s="1"/>
  <c r="P93" i="3" s="1"/>
  <c r="M91" i="3"/>
  <c r="N91" i="3" s="1"/>
  <c r="P91" i="3" s="1"/>
  <c r="M89" i="3"/>
  <c r="N89" i="3" s="1"/>
  <c r="P89" i="3" s="1"/>
  <c r="M76" i="3"/>
  <c r="N76" i="3" s="1"/>
  <c r="M73" i="3"/>
  <c r="N73" i="3" s="1"/>
  <c r="P73" i="3" s="1"/>
  <c r="M51" i="3"/>
  <c r="N51" i="3" s="1"/>
  <c r="P51" i="3" s="1"/>
  <c r="M39" i="3"/>
  <c r="N39" i="3" s="1"/>
  <c r="P39" i="3" s="1"/>
  <c r="M19" i="3"/>
  <c r="N19" i="3" s="1"/>
  <c r="P19" i="3" s="1"/>
  <c r="M98" i="3"/>
  <c r="N98" i="3" s="1"/>
  <c r="P98" i="3" s="1"/>
  <c r="M88" i="3"/>
  <c r="N88" i="3" s="1"/>
  <c r="P88" i="3" s="1"/>
  <c r="M87" i="3"/>
  <c r="N87" i="3" s="1"/>
  <c r="P87" i="3" s="1"/>
  <c r="M86" i="3"/>
  <c r="N86" i="3" s="1"/>
  <c r="P86" i="3" s="1"/>
  <c r="M85" i="3"/>
  <c r="N85" i="3" s="1"/>
  <c r="M84" i="3"/>
  <c r="N84" i="3" s="1"/>
  <c r="P84" i="3" s="1"/>
  <c r="M16" i="3"/>
  <c r="N16" i="3" s="1"/>
  <c r="P16" i="3" s="1"/>
  <c r="M9" i="3"/>
  <c r="N9" i="3" s="1"/>
  <c r="P9" i="3" s="1"/>
  <c r="M4" i="3"/>
  <c r="M135" i="3"/>
  <c r="N135" i="3" s="1"/>
  <c r="P135" i="3" s="1"/>
  <c r="M123" i="3"/>
  <c r="N123" i="3" s="1"/>
  <c r="P123" i="3" s="1"/>
  <c r="M102" i="3"/>
  <c r="N102" i="3" s="1"/>
  <c r="P102" i="3" s="1"/>
  <c r="M97" i="3"/>
  <c r="N97" i="3" s="1"/>
  <c r="P97" i="3" s="1"/>
  <c r="M90" i="3"/>
  <c r="N90" i="3" s="1"/>
  <c r="P90" i="3" s="1"/>
  <c r="M83" i="3"/>
  <c r="N83" i="3" s="1"/>
  <c r="P83" i="3" s="1"/>
  <c r="M81" i="3"/>
  <c r="N81" i="3" s="1"/>
  <c r="P81" i="3" s="1"/>
  <c r="M80" i="3"/>
  <c r="N80" i="3" s="1"/>
  <c r="P80" i="3" s="1"/>
  <c r="M79" i="3"/>
  <c r="N79" i="3" s="1"/>
  <c r="P79" i="3" s="1"/>
  <c r="M78" i="3"/>
  <c r="N78" i="3" s="1"/>
  <c r="P78" i="3" s="1"/>
  <c r="M77" i="3"/>
  <c r="N77" i="3" s="1"/>
  <c r="P77" i="3" s="1"/>
  <c r="M75" i="3"/>
  <c r="N75" i="3" s="1"/>
  <c r="P75" i="3" s="1"/>
  <c r="M72" i="3"/>
  <c r="N72" i="3" s="1"/>
  <c r="P72" i="3" s="1"/>
  <c r="M137" i="3"/>
  <c r="N137" i="3" s="1"/>
  <c r="P137" i="3" s="1"/>
  <c r="M124" i="3"/>
  <c r="N124" i="3" s="1"/>
  <c r="P124" i="3" s="1"/>
  <c r="M95" i="3"/>
  <c r="N95" i="3" s="1"/>
  <c r="P95" i="3" s="1"/>
  <c r="M94" i="3"/>
  <c r="N94" i="3" s="1"/>
  <c r="P94" i="3" s="1"/>
  <c r="M74" i="3"/>
  <c r="N74" i="3" s="1"/>
  <c r="P74" i="3" s="1"/>
  <c r="M56" i="3"/>
  <c r="N56" i="3" s="1"/>
  <c r="P56" i="3" s="1"/>
  <c r="M82" i="3"/>
  <c r="N82" i="3" s="1"/>
  <c r="P82" i="3" s="1"/>
  <c r="M57" i="3"/>
  <c r="N57" i="3" s="1"/>
  <c r="P57" i="3" s="1"/>
  <c r="M52" i="3"/>
  <c r="N52" i="3" s="1"/>
  <c r="P52" i="3" s="1"/>
  <c r="M48" i="3"/>
  <c r="N48" i="3" s="1"/>
  <c r="P48" i="3" s="1"/>
  <c r="M41" i="3"/>
  <c r="N41" i="3" s="1"/>
  <c r="P41" i="3" s="1"/>
  <c r="M36" i="3"/>
  <c r="N36" i="3" s="1"/>
  <c r="P36" i="3" s="1"/>
  <c r="M120" i="3"/>
  <c r="N120" i="3" s="1"/>
  <c r="P120" i="3" s="1"/>
  <c r="M71" i="3"/>
  <c r="N71" i="3" s="1"/>
  <c r="P71" i="3" s="1"/>
  <c r="M70" i="3"/>
  <c r="N70" i="3" s="1"/>
  <c r="P70" i="3" s="1"/>
  <c r="M69" i="3"/>
  <c r="N69" i="3" s="1"/>
  <c r="P69" i="3" s="1"/>
  <c r="M43" i="3"/>
  <c r="N43" i="3" s="1"/>
  <c r="P43" i="3" s="1"/>
  <c r="M15" i="3"/>
  <c r="N15" i="3" s="1"/>
  <c r="P15" i="3" s="1"/>
  <c r="M7" i="3"/>
  <c r="N7" i="3" s="1"/>
  <c r="P7" i="3" s="1"/>
  <c r="M117" i="3"/>
  <c r="N117" i="3" s="1"/>
  <c r="P117" i="3" s="1"/>
  <c r="M139" i="3"/>
  <c r="N139" i="3" s="1"/>
  <c r="P139" i="3" s="1"/>
  <c r="M136" i="3"/>
  <c r="N136" i="3" s="1"/>
  <c r="P136" i="3" s="1"/>
  <c r="M103" i="3"/>
  <c r="N103" i="3" s="1"/>
  <c r="P103" i="3" s="1"/>
  <c r="M100" i="3"/>
  <c r="N100" i="3" s="1"/>
  <c r="P100" i="3" s="1"/>
  <c r="M67" i="3"/>
  <c r="N67" i="3" s="1"/>
  <c r="P67" i="3" s="1"/>
  <c r="M66" i="3"/>
  <c r="N66" i="3" s="1"/>
  <c r="P66" i="3" s="1"/>
  <c r="M65" i="3"/>
  <c r="N65" i="3" s="1"/>
  <c r="P65" i="3" s="1"/>
  <c r="M63" i="3"/>
  <c r="N63" i="3" s="1"/>
  <c r="P63" i="3" s="1"/>
  <c r="M50" i="3"/>
  <c r="N50" i="3" s="1"/>
  <c r="P50" i="3" s="1"/>
  <c r="M38" i="3"/>
  <c r="N38" i="3" s="1"/>
  <c r="P38" i="3" s="1"/>
  <c r="M119" i="3"/>
  <c r="N119" i="3" s="1"/>
  <c r="P119" i="3" s="1"/>
  <c r="M62" i="3"/>
  <c r="N62" i="3" s="1"/>
  <c r="P62" i="3" s="1"/>
  <c r="M61" i="3"/>
  <c r="N61" i="3" s="1"/>
  <c r="P61" i="3" s="1"/>
  <c r="M60" i="3"/>
  <c r="N60" i="3" s="1"/>
  <c r="P60" i="3" s="1"/>
  <c r="M59" i="3"/>
  <c r="N59" i="3" s="1"/>
  <c r="P59" i="3" s="1"/>
  <c r="M58" i="3"/>
  <c r="N58" i="3" s="1"/>
  <c r="P58" i="3" s="1"/>
  <c r="M55" i="3"/>
  <c r="N55" i="3" s="1"/>
  <c r="P55" i="3" s="1"/>
  <c r="M12" i="3"/>
  <c r="N12" i="3" s="1"/>
  <c r="P12" i="3" s="1"/>
  <c r="M8" i="3"/>
  <c r="N8" i="3" s="1"/>
  <c r="P8" i="3" s="1"/>
  <c r="M5" i="3"/>
  <c r="N5" i="3" s="1"/>
  <c r="P5" i="3" s="1"/>
  <c r="M141" i="3"/>
  <c r="N141" i="3" s="1"/>
  <c r="P141" i="3" s="1"/>
  <c r="M125" i="3"/>
  <c r="N125" i="3" s="1"/>
  <c r="P125" i="3" s="1"/>
  <c r="M68" i="3"/>
  <c r="N68" i="3" s="1"/>
  <c r="P68" i="3" s="1"/>
  <c r="M64" i="3"/>
  <c r="N64" i="3" s="1"/>
  <c r="P64" i="3" s="1"/>
  <c r="M54" i="3"/>
  <c r="N54" i="3" s="1"/>
  <c r="P54" i="3" s="1"/>
  <c r="M53" i="3"/>
  <c r="N53" i="3" s="1"/>
  <c r="P53" i="3" s="1"/>
  <c r="M49" i="3"/>
  <c r="N49" i="3" s="1"/>
  <c r="P49" i="3" s="1"/>
  <c r="M46" i="3"/>
  <c r="N46" i="3" s="1"/>
  <c r="P46" i="3" s="1"/>
  <c r="M40" i="3"/>
  <c r="N40" i="3" s="1"/>
  <c r="P40" i="3" s="1"/>
  <c r="M20" i="3"/>
  <c r="N20" i="3" s="1"/>
  <c r="P20" i="3" s="1"/>
  <c r="M45" i="3"/>
  <c r="N45" i="3" s="1"/>
  <c r="P45" i="3" s="1"/>
  <c r="M44" i="3"/>
  <c r="N44" i="3" s="1"/>
  <c r="P44" i="3" s="1"/>
  <c r="M42" i="3"/>
  <c r="N42" i="3" s="1"/>
  <c r="P42" i="3" s="1"/>
  <c r="M22" i="3"/>
  <c r="N22" i="3" s="1"/>
  <c r="P22" i="3" s="1"/>
  <c r="M17" i="3"/>
  <c r="N17" i="3" s="1"/>
  <c r="P17" i="3" s="1"/>
  <c r="M10" i="3"/>
  <c r="N10" i="3" s="1"/>
  <c r="P10" i="3" s="1"/>
  <c r="M116" i="3"/>
  <c r="N116" i="3" s="1"/>
  <c r="P116" i="3" s="1"/>
  <c r="M35" i="3"/>
  <c r="N35" i="3" s="1"/>
  <c r="P35" i="3" s="1"/>
  <c r="M34" i="3"/>
  <c r="N34" i="3" s="1"/>
  <c r="P34" i="3" s="1"/>
  <c r="M33" i="3"/>
  <c r="N33" i="3" s="1"/>
  <c r="P33" i="3" s="1"/>
  <c r="M32" i="3"/>
  <c r="N32" i="3" s="1"/>
  <c r="P32" i="3" s="1"/>
  <c r="M31" i="3"/>
  <c r="N31" i="3" s="1"/>
  <c r="P31" i="3" s="1"/>
  <c r="M30" i="3"/>
  <c r="N30" i="3" s="1"/>
  <c r="P30" i="3" s="1"/>
  <c r="M29" i="3"/>
  <c r="N29" i="3" s="1"/>
  <c r="P29" i="3" s="1"/>
  <c r="M28" i="3"/>
  <c r="N28" i="3" s="1"/>
  <c r="P28" i="3" s="1"/>
  <c r="M27" i="3"/>
  <c r="N27" i="3" s="1"/>
  <c r="P27" i="3" s="1"/>
  <c r="M26" i="3"/>
  <c r="N26" i="3" s="1"/>
  <c r="P26" i="3" s="1"/>
  <c r="M25" i="3"/>
  <c r="N25" i="3" s="1"/>
  <c r="P25" i="3" s="1"/>
  <c r="M24" i="3"/>
  <c r="N24" i="3" s="1"/>
  <c r="P24" i="3" s="1"/>
  <c r="M23" i="3"/>
  <c r="N23" i="3" s="1"/>
  <c r="P23" i="3" s="1"/>
  <c r="M21" i="3"/>
  <c r="N21" i="3" s="1"/>
  <c r="P21" i="3" s="1"/>
  <c r="M101" i="3"/>
  <c r="N101" i="3" s="1"/>
  <c r="P101" i="3" s="1"/>
  <c r="M18" i="3"/>
  <c r="N18" i="3" s="1"/>
  <c r="P18" i="3" s="1"/>
  <c r="M37" i="3"/>
  <c r="N37" i="3" s="1"/>
  <c r="P37" i="3" s="1"/>
  <c r="N3" i="3"/>
  <c r="C25" i="1" l="1"/>
  <c r="N142" i="3"/>
  <c r="N143" i="3" s="1"/>
  <c r="P3" i="3"/>
  <c r="N4" i="3"/>
  <c r="P4" i="3" s="1"/>
  <c r="M14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Days in the base period the bag (any colour) had stock in a shop or sold, counted from its launch. Rebuilt from Odoo stock moves (lib/product_targets).</t>
        </r>
      </text>
    </comment>
    <comment ref="O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MONTHLY_TARGET column C on the Google Sheet — for comparison only; no longer the target.</t>
        </r>
      </text>
    </comment>
  </commentList>
</comments>
</file>

<file path=xl/sharedStrings.xml><?xml version="1.0" encoding="utf-8"?>
<sst xmlns="http://schemas.openxmlformats.org/spreadsheetml/2006/main" count="241" uniqueCount="222">
  <si>
    <t>October 2026 bag targets — how each number is calculated</t>
  </si>
  <si>
    <t>Source data: Odoo (sales_pos_target, POS sales, Corporate invoices, stock). Built by lib/product_targets.py; spec docs/product-targets.md.</t>
  </si>
  <si>
    <t>1. Total to share out</t>
  </si>
  <si>
    <t>The month's Odoo targets for every shop till (all 19, incl. Dar-es-Salaam and Uganda) plus Corporate, in bags. See the Inputs sheet.</t>
  </si>
  <si>
    <t>2. Sales in the base period (the three complete months before: 1 Jul – 30 Sep 2026)</t>
  </si>
  <si>
    <t>Bags sold on every till + Corporate invoices; combo contents count per bag; refunds netted; delivery, straps, customisation, samples, discounts and gift bags left out. Colours fold into the bag (all Jumbo colours = JUMBO).</t>
  </si>
  <si>
    <t>3. Days available — so new bags and stock-outs aren't penalised</t>
  </si>
  <si>
    <t>Days the bag had stock in a shop (any colour; daily stock rebuilt from Odoo's stock moves) or sold, counted from its launch (first sale ever). Days used = at least the minimum (Inputs) and at most the days in the period.</t>
  </si>
  <si>
    <t>4. Full-period equivalent</t>
  </si>
  <si>
    <t>Full-period equivalent = period sold ÷ days used × days in the period. A bag in stock all period keeps its actual sales.</t>
  </si>
  <si>
    <t>5. Share and target</t>
  </si>
  <si>
    <t>Share = the bag's full-period equivalent ÷ the sum over all bags.  Raw target = share × total.</t>
  </si>
  <si>
    <t>Target = whole part of the raw target, plus 1 for the bags with the largest fractions until the targets add up exactly to the total (largest-remainder rounding).</t>
  </si>
  <si>
    <t>6. No zero targets</t>
  </si>
  <si>
    <t>Bags that sold nothing in the base period have no row; bags whose target would round to 0 are dropped.</t>
  </si>
  <si>
    <t>Worked example — the JUMBO row of the Bag targets sheet (live formulas)</t>
  </si>
  <si>
    <t>Sold Jul–Sep</t>
  </si>
  <si>
    <t>Days used</t>
  </si>
  <si>
    <t>Full-period equivalent (sold ÷ days used × days in period)</t>
  </si>
  <si>
    <t>Share of all bags</t>
  </si>
  <si>
    <t>× Total (Inputs)</t>
  </si>
  <si>
    <t>Raw target (share × total)</t>
  </si>
  <si>
    <t>October target (after rounding)</t>
  </si>
  <si>
    <t>Inputs — October 2026</t>
  </si>
  <si>
    <t>Item</t>
  </si>
  <si>
    <t>Value</t>
  </si>
  <si>
    <t>Source / note</t>
  </si>
  <si>
    <t>Total target (bags)</t>
  </si>
  <si>
    <t>Sum of the till + Corporate targets below</t>
  </si>
  <si>
    <t>Base period start</t>
  </si>
  <si>
    <t>The three complete months before October</t>
  </si>
  <si>
    <t>Base period end</t>
  </si>
  <si>
    <t>Days in base period</t>
  </si>
  <si>
    <t>Minimum days available</t>
  </si>
  <si>
    <t>Stops a bag a few days old from getting an inflated rate (lib/product_targets.MIN_DAYS)</t>
  </si>
  <si>
    <t>Total target (KES)</t>
  </si>
  <si>
    <t>Odoo monthly targets — October 2026 (sales_pos_target)</t>
  </si>
  <si>
    <t>Till</t>
  </si>
  <si>
    <t>Scope</t>
  </si>
  <si>
    <t>Target (bags)</t>
  </si>
  <si>
    <t>Target (KES)</t>
  </si>
  <si>
    <t>HILTON</t>
  </si>
  <si>
    <t>pos</t>
  </si>
  <si>
    <t>KTDA Shop</t>
  </si>
  <si>
    <t>WEBSITE SALES</t>
  </si>
  <si>
    <t>STARMALL</t>
  </si>
  <si>
    <t>MOMBASA</t>
  </si>
  <si>
    <t>NAKURU</t>
  </si>
  <si>
    <t>ELDORET</t>
  </si>
  <si>
    <t>HAZINA</t>
  </si>
  <si>
    <t>THIKA</t>
  </si>
  <si>
    <t>KISUMU</t>
  </si>
  <si>
    <t>MERU</t>
  </si>
  <si>
    <t>KISII</t>
  </si>
  <si>
    <t>KAKAMEGA</t>
  </si>
  <si>
    <t>DAR-ES-ALAM</t>
  </si>
  <si>
    <t>KITENGELA</t>
  </si>
  <si>
    <t>RONGAI</t>
  </si>
  <si>
    <t>BUSIA</t>
  </si>
  <si>
    <t>NANYUKI</t>
  </si>
  <si>
    <t>UGANDA</t>
  </si>
  <si>
    <t>CORPORATE</t>
  </si>
  <si>
    <t>corporate</t>
  </si>
  <si>
    <t>Source: Odoo sales_pos_target, period = month, start 2026-10-01, scopes pos + corporate (pulled 2026-10-04).</t>
  </si>
  <si>
    <t>October 2026 — bag targets (blue = Odoo inputs, black = formulas; see Method)</t>
  </si>
  <si>
    <t>Bag</t>
  </si>
  <si>
    <t>Launch (first sale)</t>
  </si>
  <si>
    <t>Days with stock or sales</t>
  </si>
  <si>
    <t>Jul sold</t>
  </si>
  <si>
    <t>Aug sold</t>
  </si>
  <si>
    <t>Sep sold</t>
  </si>
  <si>
    <t>Period sold</t>
  </si>
  <si>
    <t>Days in shops (from launch)</t>
  </si>
  <si>
    <t>Full-period equivalent</t>
  </si>
  <si>
    <t>Share</t>
  </si>
  <si>
    <t>Raw target</t>
  </si>
  <si>
    <t>Rounding +1</t>
  </si>
  <si>
    <t>October target (bags)</t>
  </si>
  <si>
    <t>Sheet target (col C)</t>
  </si>
  <si>
    <t>Target − sheet</t>
  </si>
  <si>
    <t>Fraction (helper)</t>
  </si>
  <si>
    <t>JUMBO</t>
  </si>
  <si>
    <t>ANTITHEFT</t>
  </si>
  <si>
    <t>CODE 3</t>
  </si>
  <si>
    <t>MAN BAG</t>
  </si>
  <si>
    <t>FABELA</t>
  </si>
  <si>
    <t>TRAVEL</t>
  </si>
  <si>
    <t>PRIME</t>
  </si>
  <si>
    <t>BIG MAN BAG</t>
  </si>
  <si>
    <t>NIZANA</t>
  </si>
  <si>
    <t>MINI MAYA</t>
  </si>
  <si>
    <t>MEGA</t>
  </si>
  <si>
    <t>REO TRAVEL</t>
  </si>
  <si>
    <t>SAFIRI TRAVEL</t>
  </si>
  <si>
    <t>MOON BAG</t>
  </si>
  <si>
    <t>MINI UMBRA</t>
  </si>
  <si>
    <t>KAI</t>
  </si>
  <si>
    <t>LOLA</t>
  </si>
  <si>
    <t>SARAI</t>
  </si>
  <si>
    <t>ARIA SLING</t>
  </si>
  <si>
    <t>REMI</t>
  </si>
  <si>
    <t>AMAYA</t>
  </si>
  <si>
    <t>ELYSE</t>
  </si>
  <si>
    <t>ZANE MAN</t>
  </si>
  <si>
    <t>LIAM</t>
  </si>
  <si>
    <t>KATE</t>
  </si>
  <si>
    <t>CATHY HANDBAG</t>
  </si>
  <si>
    <t>SCHOOL BAG</t>
  </si>
  <si>
    <t>PIONEER</t>
  </si>
  <si>
    <t>GYM BAG</t>
  </si>
  <si>
    <t>MONAH BP</t>
  </si>
  <si>
    <t>NEO MAN</t>
  </si>
  <si>
    <t>CLAIRE HANDBAG</t>
  </si>
  <si>
    <t>LOOP BP</t>
  </si>
  <si>
    <t>BELT BAG</t>
  </si>
  <si>
    <t>AURORA</t>
  </si>
  <si>
    <t>BONITA</t>
  </si>
  <si>
    <t>AVANA HB</t>
  </si>
  <si>
    <t>MINI ZURI</t>
  </si>
  <si>
    <t>OVAL HANDBAG</t>
  </si>
  <si>
    <t>TRECENTO</t>
  </si>
  <si>
    <t>JAMELA</t>
  </si>
  <si>
    <t>FAYOLA</t>
  </si>
  <si>
    <t>COSMO</t>
  </si>
  <si>
    <t>LUNA</t>
  </si>
  <si>
    <t>ZULA</t>
  </si>
  <si>
    <t>SIERRA HANDBAG</t>
  </si>
  <si>
    <t>BRIEF CASE</t>
  </si>
  <si>
    <t>DOUBLE PRESS</t>
  </si>
  <si>
    <t>LAMORA</t>
  </si>
  <si>
    <t>CAIRO BP</t>
  </si>
  <si>
    <t>ACE</t>
  </si>
  <si>
    <t>JADE</t>
  </si>
  <si>
    <t>BABY BAG</t>
  </si>
  <si>
    <t>ZIPPED LUNCHSET</t>
  </si>
  <si>
    <t>WASHBAG</t>
  </si>
  <si>
    <t>TYLER</t>
  </si>
  <si>
    <t>LEGACY</t>
  </si>
  <si>
    <t>LEILA</t>
  </si>
  <si>
    <t>SCOOBY</t>
  </si>
  <si>
    <t>COLLEGE HB</t>
  </si>
  <si>
    <t>FEROZ</t>
  </si>
  <si>
    <t>LUNCHSET</t>
  </si>
  <si>
    <t>BUTTERFLY SLING</t>
  </si>
  <si>
    <t>DON</t>
  </si>
  <si>
    <t>KAZ</t>
  </si>
  <si>
    <t>KARINA</t>
  </si>
  <si>
    <t>TAJI</t>
  </si>
  <si>
    <t>ARIA PRO</t>
  </si>
  <si>
    <t>ALPHA TRAVEL</t>
  </si>
  <si>
    <t>FANNY PACK</t>
  </si>
  <si>
    <t>POCKET TRAVEL</t>
  </si>
  <si>
    <t>LAFEMME</t>
  </si>
  <si>
    <t>SPARK</t>
  </si>
  <si>
    <t>LAPTOP SLEEVE</t>
  </si>
  <si>
    <t>MINI SCHOOL</t>
  </si>
  <si>
    <t>TRAVOLTA</t>
  </si>
  <si>
    <t>ZOEZI</t>
  </si>
  <si>
    <t>NALA</t>
  </si>
  <si>
    <t>ZELUS</t>
  </si>
  <si>
    <t>LANKA</t>
  </si>
  <si>
    <t>MINI MANBAG</t>
  </si>
  <si>
    <t>ZENO</t>
  </si>
  <si>
    <t>ZURI</t>
  </si>
  <si>
    <t>UMBRA</t>
  </si>
  <si>
    <t>ESMERALDA</t>
  </si>
  <si>
    <t>CESS</t>
  </si>
  <si>
    <t>BELLO</t>
  </si>
  <si>
    <t>CODE 9</t>
  </si>
  <si>
    <t>SATCHEL</t>
  </si>
  <si>
    <t>MODERN TRAVEL</t>
  </si>
  <si>
    <t>JAYDEN MAN</t>
  </si>
  <si>
    <t>MANDY HB</t>
  </si>
  <si>
    <t>ARLO MAN BAG</t>
  </si>
  <si>
    <t>NOVA</t>
  </si>
  <si>
    <t>WANDER LUXE</t>
  </si>
  <si>
    <t>ARM BAND</t>
  </si>
  <si>
    <t>NYLA BP</t>
  </si>
  <si>
    <t>IMANI</t>
  </si>
  <si>
    <t>ANKARA TRAVEL</t>
  </si>
  <si>
    <t>KAYLA</t>
  </si>
  <si>
    <t>CALLISTA</t>
  </si>
  <si>
    <t>SKYE HB</t>
  </si>
  <si>
    <t>SLEEVE 1</t>
  </si>
  <si>
    <t>ELEKTRA</t>
  </si>
  <si>
    <t>DARIA</t>
  </si>
  <si>
    <t>SAFIRI BP</t>
  </si>
  <si>
    <t>MARLEY</t>
  </si>
  <si>
    <t>CLEO</t>
  </si>
  <si>
    <t>VOYAGE</t>
  </si>
  <si>
    <t>ADRIAN</t>
  </si>
  <si>
    <t>MAYA</t>
  </si>
  <si>
    <t>LADONA</t>
  </si>
  <si>
    <t>LOTUS</t>
  </si>
  <si>
    <t>MYSTIQUE</t>
  </si>
  <si>
    <t>LUCA</t>
  </si>
  <si>
    <t>AMORA</t>
  </si>
  <si>
    <t>CODE 4 ANKARA</t>
  </si>
  <si>
    <t>MONTANA</t>
  </si>
  <si>
    <t>VANITY</t>
  </si>
  <si>
    <t>ATLAS</t>
  </si>
  <si>
    <t>CELINE SLING BAG</t>
  </si>
  <si>
    <t>CHASE</t>
  </si>
  <si>
    <t>DIAPER BAG</t>
  </si>
  <si>
    <t>KAOS</t>
  </si>
  <si>
    <t>LUNA AMAPIANO</t>
  </si>
  <si>
    <t>POH HAIRISTIC</t>
  </si>
  <si>
    <t>SHUGLI BACKPACK</t>
  </si>
  <si>
    <t>SPLASH BACKPACK</t>
  </si>
  <si>
    <t>TRIO MIO</t>
  </si>
  <si>
    <t>TWAIN TRAVEL</t>
  </si>
  <si>
    <t>NINA</t>
  </si>
  <si>
    <t>CHARLOTTE</t>
  </si>
  <si>
    <t>HOOD</t>
  </si>
  <si>
    <t>LITE</t>
  </si>
  <si>
    <t>SATIS</t>
  </si>
  <si>
    <t>SLEEVE 2</t>
  </si>
  <si>
    <t>AMARI</t>
  </si>
  <si>
    <t>REESTO CHEST</t>
  </si>
  <si>
    <t>SCARLET</t>
  </si>
  <si>
    <t>TOTAL</t>
  </si>
  <si>
    <t>Check: October target total = Inputs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</si>
</sst>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#,##0.0"/>
    <numFmt numFmtId="166" formatCode="0.00%;\(0.00%\);\-"/>
    <numFmt numFmtId="168" formatCode="dd\ mmm\ yyyy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sz val="11"/>
      <color rgb="FF008000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0000"/>
      <name val="Arial"/>
    </font>
    <font>
      <i/>
      <sz val="11"/>
      <color rgb="FF595959"/>
      <name val="Arial"/>
    </font>
    <font>
      <b/>
      <sz val="12"/>
      <name val="Arial"/>
    </font>
    <font>
      <sz val="11"/>
      <color rgb="FF808080"/>
      <name val="Arial"/>
    </font>
    <font>
      <i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1" fillId="0" borderId="0" xfId="0" applyFont="1"/>
    <xf numFmtId="0" fontId="5" fillId="2" borderId="0" xfId="0" applyFont="1" applyFill="1"/>
    <xf numFmtId="164" fontId="7" fillId="3" borderId="0" xfId="0" applyNumberFormat="1" applyFont="1" applyFill="1"/>
    <xf numFmtId="0" fontId="8" fillId="0" borderId="0" xfId="0" applyFont="1"/>
    <xf numFmtId="168" fontId="6" fillId="0" borderId="0" xfId="0" applyNumberFormat="1" applyFont="1"/>
    <xf numFmtId="1" fontId="7" fillId="0" borderId="0" xfId="0" applyNumberFormat="1" applyFont="1"/>
    <xf numFmtId="0" fontId="6" fillId="3" borderId="0" xfId="0" applyFont="1" applyFill="1"/>
    <xf numFmtId="164" fontId="7" fillId="0" borderId="0" xfId="0" applyNumberFormat="1" applyFont="1"/>
    <xf numFmtId="0" fontId="3" fillId="0" borderId="0" xfId="0" applyFont="1"/>
    <xf numFmtId="164" fontId="6" fillId="0" borderId="0" xfId="0" applyNumberFormat="1" applyFont="1"/>
    <xf numFmtId="0" fontId="9" fillId="0" borderId="0" xfId="0" applyFont="1"/>
    <xf numFmtId="0" fontId="5" fillId="2" borderId="0" xfId="0" applyFont="1" applyFill="1" applyAlignment="1">
      <alignment horizontal="center" vertical="center" wrapText="1"/>
    </xf>
    <xf numFmtId="0" fontId="10" fillId="0" borderId="0" xfId="0" applyFont="1"/>
    <xf numFmtId="0" fontId="2" fillId="0" borderId="1" xfId="0" applyFont="1" applyBorder="1"/>
    <xf numFmtId="168" fontId="6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7" fillId="0" borderId="1" xfId="0" applyNumberFormat="1" applyFont="1" applyBorder="1"/>
    <xf numFmtId="3" fontId="7" fillId="0" borderId="1" xfId="0" applyNumberFormat="1" applyFont="1" applyBorder="1"/>
    <xf numFmtId="166" fontId="7" fillId="0" borderId="1" xfId="0" applyNumberFormat="1" applyFont="1" applyBorder="1"/>
    <xf numFmtId="165" fontId="7" fillId="0" borderId="1" xfId="0" applyNumberFormat="1" applyFont="1" applyBorder="1"/>
    <xf numFmtId="164" fontId="3" fillId="0" borderId="0" xfId="0" applyNumberFormat="1" applyFont="1"/>
    <xf numFmtId="3" fontId="3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5"/>
  <sheetViews>
    <sheetView tabSelected="1" workbookViewId="0"/>
  </sheetViews>
  <sheetFormatPr defaultRowHeight="15" x14ac:dyDescent="0.25"/>
  <cols>
    <col min="1" max="1" width="4" customWidth="1"/>
    <col min="2" max="2" width="118" customWidth="1"/>
    <col min="3" max="3" width="16" customWidth="1"/>
  </cols>
  <sheetData>
    <row r="1" spans="2:2" ht="18" x14ac:dyDescent="0.25">
      <c r="B1" s="1" t="s">
        <v>0</v>
      </c>
    </row>
    <row r="2" spans="2:2" ht="28.5" x14ac:dyDescent="0.25">
      <c r="B2" s="2" t="s">
        <v>1</v>
      </c>
    </row>
    <row r="3" spans="2:2" x14ac:dyDescent="0.25">
      <c r="B3" s="2"/>
    </row>
    <row r="4" spans="2:2" x14ac:dyDescent="0.25">
      <c r="B4" s="3" t="s">
        <v>2</v>
      </c>
    </row>
    <row r="5" spans="2:2" ht="28.5" x14ac:dyDescent="0.25">
      <c r="B5" s="2" t="s">
        <v>3</v>
      </c>
    </row>
    <row r="6" spans="2:2" x14ac:dyDescent="0.25">
      <c r="B6" s="3" t="s">
        <v>4</v>
      </c>
    </row>
    <row r="7" spans="2:2" ht="28.5" x14ac:dyDescent="0.25">
      <c r="B7" s="2" t="s">
        <v>5</v>
      </c>
    </row>
    <row r="8" spans="2:2" x14ac:dyDescent="0.25">
      <c r="B8" s="3" t="s">
        <v>6</v>
      </c>
    </row>
    <row r="9" spans="2:2" ht="28.5" x14ac:dyDescent="0.25">
      <c r="B9" s="2" t="s">
        <v>7</v>
      </c>
    </row>
    <row r="10" spans="2:2" x14ac:dyDescent="0.25">
      <c r="B10" s="3" t="s">
        <v>8</v>
      </c>
    </row>
    <row r="11" spans="2:2" x14ac:dyDescent="0.25">
      <c r="B11" s="2" t="s">
        <v>9</v>
      </c>
    </row>
    <row r="12" spans="2:2" x14ac:dyDescent="0.25">
      <c r="B12" s="3" t="s">
        <v>10</v>
      </c>
    </row>
    <row r="13" spans="2:2" x14ac:dyDescent="0.25">
      <c r="B13" s="2" t="s">
        <v>11</v>
      </c>
    </row>
    <row r="14" spans="2:2" ht="28.5" x14ac:dyDescent="0.25">
      <c r="B14" s="2" t="s">
        <v>12</v>
      </c>
    </row>
    <row r="15" spans="2:2" x14ac:dyDescent="0.25">
      <c r="B15" s="3" t="s">
        <v>13</v>
      </c>
    </row>
    <row r="16" spans="2:2" x14ac:dyDescent="0.25">
      <c r="B16" s="2" t="s">
        <v>14</v>
      </c>
    </row>
    <row r="17" spans="2:3" x14ac:dyDescent="0.25">
      <c r="B17" s="2"/>
    </row>
    <row r="18" spans="2:3" x14ac:dyDescent="0.25">
      <c r="B18" s="3" t="s">
        <v>15</v>
      </c>
    </row>
    <row r="19" spans="2:3" x14ac:dyDescent="0.25">
      <c r="B19" s="4" t="s">
        <v>16</v>
      </c>
      <c r="C19" s="5">
        <f>'Bag targets'!G3</f>
        <v>3672</v>
      </c>
    </row>
    <row r="20" spans="2:3" x14ac:dyDescent="0.25">
      <c r="B20" s="4" t="s">
        <v>17</v>
      </c>
      <c r="C20" s="5">
        <f>'Bag targets'!I3</f>
        <v>92</v>
      </c>
    </row>
    <row r="21" spans="2:3" x14ac:dyDescent="0.25">
      <c r="B21" s="4" t="s">
        <v>18</v>
      </c>
      <c r="C21" s="6">
        <f>'Bag targets'!J3</f>
        <v>3672</v>
      </c>
    </row>
    <row r="22" spans="2:3" x14ac:dyDescent="0.25">
      <c r="B22" s="4" t="s">
        <v>19</v>
      </c>
      <c r="C22" s="7">
        <f>'Bag targets'!K3</f>
        <v>7.2645447051424894E-2</v>
      </c>
    </row>
    <row r="23" spans="2:3" x14ac:dyDescent="0.25">
      <c r="B23" s="4" t="s">
        <v>20</v>
      </c>
      <c r="C23" s="5">
        <f>Inputs!$C$4</f>
        <v>28013</v>
      </c>
    </row>
    <row r="24" spans="2:3" x14ac:dyDescent="0.25">
      <c r="B24" s="4" t="s">
        <v>21</v>
      </c>
      <c r="C24" s="6">
        <f>'Bag targets'!L3</f>
        <v>2035.0169082515656</v>
      </c>
    </row>
    <row r="25" spans="2:3" x14ac:dyDescent="0.25">
      <c r="B25" s="4" t="s">
        <v>22</v>
      </c>
      <c r="C25" s="5">
        <f>'Bag targets'!N3</f>
        <v>2035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/>
  </sheetViews>
  <sheetFormatPr defaultRowHeight="15" x14ac:dyDescent="0.25"/>
  <cols>
    <col min="1" max="1" width="34" customWidth="1"/>
    <col min="2" max="3" width="14" customWidth="1"/>
    <col min="4" max="4" width="18" customWidth="1"/>
    <col min="5" max="5" width="60" customWidth="1"/>
  </cols>
  <sheetData>
    <row r="1" spans="1:5" ht="18" x14ac:dyDescent="0.25">
      <c r="A1" s="8" t="s">
        <v>23</v>
      </c>
    </row>
    <row r="3" spans="1:5" x14ac:dyDescent="0.25">
      <c r="A3" s="9" t="s">
        <v>24</v>
      </c>
      <c r="C3" s="9" t="s">
        <v>25</v>
      </c>
      <c r="E3" s="9" t="s">
        <v>26</v>
      </c>
    </row>
    <row r="4" spans="1:5" x14ac:dyDescent="0.25">
      <c r="A4" s="4" t="s">
        <v>27</v>
      </c>
      <c r="C4" s="10">
        <f>SUM(C15:C40)</f>
        <v>28013</v>
      </c>
      <c r="E4" s="11" t="s">
        <v>28</v>
      </c>
    </row>
    <row r="5" spans="1:5" x14ac:dyDescent="0.25">
      <c r="A5" s="4" t="s">
        <v>29</v>
      </c>
      <c r="C5" s="12">
        <v>46204</v>
      </c>
      <c r="E5" s="11" t="s">
        <v>30</v>
      </c>
    </row>
    <row r="6" spans="1:5" x14ac:dyDescent="0.25">
      <c r="A6" s="4" t="s">
        <v>31</v>
      </c>
      <c r="C6" s="12">
        <v>46295</v>
      </c>
    </row>
    <row r="7" spans="1:5" x14ac:dyDescent="0.25">
      <c r="A7" s="4" t="s">
        <v>32</v>
      </c>
      <c r="C7" s="13">
        <f>C6-C5+1</f>
        <v>92</v>
      </c>
    </row>
    <row r="8" spans="1:5" x14ac:dyDescent="0.25">
      <c r="A8" s="4" t="s">
        <v>33</v>
      </c>
      <c r="C8" s="14">
        <v>14</v>
      </c>
      <c r="E8" s="11" t="s">
        <v>34</v>
      </c>
    </row>
    <row r="9" spans="1:5" x14ac:dyDescent="0.25">
      <c r="A9" s="4" t="s">
        <v>35</v>
      </c>
      <c r="C9" s="15">
        <f>SUM(D15:D40)</f>
        <v>56030805</v>
      </c>
    </row>
    <row r="13" spans="1:5" x14ac:dyDescent="0.25">
      <c r="A13" s="16" t="s">
        <v>36</v>
      </c>
    </row>
    <row r="14" spans="1:5" x14ac:dyDescent="0.25">
      <c r="A14" s="9" t="s">
        <v>37</v>
      </c>
      <c r="B14" s="9" t="s">
        <v>38</v>
      </c>
      <c r="C14" s="9" t="s">
        <v>39</v>
      </c>
      <c r="D14" s="9" t="s">
        <v>40</v>
      </c>
    </row>
    <row r="15" spans="1:5" x14ac:dyDescent="0.25">
      <c r="A15" s="4" t="s">
        <v>41</v>
      </c>
      <c r="B15" s="4" t="s">
        <v>42</v>
      </c>
      <c r="C15" s="17">
        <v>6342</v>
      </c>
      <c r="D15" s="17">
        <v>12683827</v>
      </c>
    </row>
    <row r="16" spans="1:5" x14ac:dyDescent="0.25">
      <c r="A16" s="4" t="s">
        <v>43</v>
      </c>
      <c r="B16" s="4" t="s">
        <v>42</v>
      </c>
      <c r="C16" s="17">
        <v>2537</v>
      </c>
      <c r="D16" s="17">
        <v>5073531</v>
      </c>
    </row>
    <row r="17" spans="1:4" x14ac:dyDescent="0.25">
      <c r="A17" s="4" t="s">
        <v>44</v>
      </c>
      <c r="B17" s="4" t="s">
        <v>42</v>
      </c>
      <c r="C17" s="17">
        <v>1903</v>
      </c>
      <c r="D17" s="17">
        <v>3805148</v>
      </c>
    </row>
    <row r="18" spans="1:4" x14ac:dyDescent="0.25">
      <c r="A18" s="4" t="s">
        <v>45</v>
      </c>
      <c r="B18" s="4" t="s">
        <v>42</v>
      </c>
      <c r="C18" s="17">
        <v>1881</v>
      </c>
      <c r="D18" s="17">
        <v>3762869</v>
      </c>
    </row>
    <row r="19" spans="1:4" x14ac:dyDescent="0.25">
      <c r="A19" s="4" t="s">
        <v>46</v>
      </c>
      <c r="B19" s="4" t="s">
        <v>42</v>
      </c>
      <c r="C19" s="17">
        <v>1585</v>
      </c>
      <c r="D19" s="17">
        <v>3170957</v>
      </c>
    </row>
    <row r="20" spans="1:4" x14ac:dyDescent="0.25">
      <c r="A20" s="4" t="s">
        <v>47</v>
      </c>
      <c r="B20" s="4" t="s">
        <v>42</v>
      </c>
      <c r="C20" s="17">
        <v>1427</v>
      </c>
      <c r="D20" s="17">
        <v>2853861</v>
      </c>
    </row>
    <row r="21" spans="1:4" x14ac:dyDescent="0.25">
      <c r="A21" s="4" t="s">
        <v>48</v>
      </c>
      <c r="B21" s="4" t="s">
        <v>42</v>
      </c>
      <c r="C21" s="17">
        <v>1427</v>
      </c>
      <c r="D21" s="17">
        <v>2853861</v>
      </c>
    </row>
    <row r="22" spans="1:4" x14ac:dyDescent="0.25">
      <c r="A22" s="4" t="s">
        <v>49</v>
      </c>
      <c r="B22" s="4" t="s">
        <v>42</v>
      </c>
      <c r="C22" s="17">
        <v>1374</v>
      </c>
      <c r="D22" s="17">
        <v>2748162</v>
      </c>
    </row>
    <row r="23" spans="1:4" x14ac:dyDescent="0.25">
      <c r="A23" s="4" t="s">
        <v>50</v>
      </c>
      <c r="B23" s="4" t="s">
        <v>42</v>
      </c>
      <c r="C23" s="17">
        <v>1374</v>
      </c>
      <c r="D23" s="17">
        <v>2748162</v>
      </c>
    </row>
    <row r="24" spans="1:4" x14ac:dyDescent="0.25">
      <c r="A24" s="4" t="s">
        <v>51</v>
      </c>
      <c r="B24" s="4" t="s">
        <v>42</v>
      </c>
      <c r="C24" s="17">
        <v>951</v>
      </c>
      <c r="D24" s="17">
        <v>1902574</v>
      </c>
    </row>
    <row r="25" spans="1:4" x14ac:dyDescent="0.25">
      <c r="A25" s="4" t="s">
        <v>52</v>
      </c>
      <c r="B25" s="4" t="s">
        <v>42</v>
      </c>
      <c r="C25" s="17">
        <v>898</v>
      </c>
      <c r="D25" s="17">
        <v>1796875</v>
      </c>
    </row>
    <row r="26" spans="1:4" x14ac:dyDescent="0.25">
      <c r="A26" s="4" t="s">
        <v>53</v>
      </c>
      <c r="B26" s="4" t="s">
        <v>42</v>
      </c>
      <c r="C26" s="17">
        <v>792</v>
      </c>
      <c r="D26" s="17">
        <v>1585478</v>
      </c>
    </row>
    <row r="27" spans="1:4" x14ac:dyDescent="0.25">
      <c r="A27" s="4" t="s">
        <v>54</v>
      </c>
      <c r="B27" s="4" t="s">
        <v>42</v>
      </c>
      <c r="C27" s="17">
        <v>740</v>
      </c>
      <c r="D27" s="17">
        <v>1479780</v>
      </c>
    </row>
    <row r="28" spans="1:4" x14ac:dyDescent="0.25">
      <c r="A28" s="4" t="s">
        <v>55</v>
      </c>
      <c r="B28" s="4" t="s">
        <v>42</v>
      </c>
      <c r="C28" s="17">
        <v>687</v>
      </c>
      <c r="D28" s="17">
        <v>1374081</v>
      </c>
    </row>
    <row r="29" spans="1:4" x14ac:dyDescent="0.25">
      <c r="A29" s="4" t="s">
        <v>56</v>
      </c>
      <c r="B29" s="4" t="s">
        <v>42</v>
      </c>
      <c r="C29" s="17">
        <v>687</v>
      </c>
      <c r="D29" s="17">
        <v>1374081</v>
      </c>
    </row>
    <row r="30" spans="1:4" x14ac:dyDescent="0.25">
      <c r="A30" s="4" t="s">
        <v>57</v>
      </c>
      <c r="B30" s="4" t="s">
        <v>42</v>
      </c>
      <c r="C30" s="17">
        <v>661</v>
      </c>
      <c r="D30" s="17">
        <v>1321232</v>
      </c>
    </row>
    <row r="31" spans="1:4" x14ac:dyDescent="0.25">
      <c r="A31" s="4" t="s">
        <v>58</v>
      </c>
      <c r="B31" s="4" t="s">
        <v>42</v>
      </c>
      <c r="C31" s="17">
        <v>528</v>
      </c>
      <c r="D31" s="17">
        <v>1056986</v>
      </c>
    </row>
    <row r="32" spans="1:4" x14ac:dyDescent="0.25">
      <c r="A32" s="4" t="s">
        <v>59</v>
      </c>
      <c r="B32" s="4" t="s">
        <v>42</v>
      </c>
      <c r="C32" s="17">
        <v>528</v>
      </c>
      <c r="D32" s="17">
        <v>1056986</v>
      </c>
    </row>
    <row r="33" spans="1:4" x14ac:dyDescent="0.25">
      <c r="A33" s="4" t="s">
        <v>60</v>
      </c>
      <c r="B33" s="4" t="s">
        <v>42</v>
      </c>
      <c r="C33" s="17">
        <v>528</v>
      </c>
      <c r="D33" s="17">
        <v>1056986</v>
      </c>
    </row>
    <row r="34" spans="1:4" x14ac:dyDescent="0.25">
      <c r="A34" s="4" t="s">
        <v>61</v>
      </c>
      <c r="B34" s="4" t="s">
        <v>62</v>
      </c>
      <c r="C34" s="17">
        <v>1163</v>
      </c>
      <c r="D34" s="17">
        <v>2325368</v>
      </c>
    </row>
    <row r="36" spans="1:4" x14ac:dyDescent="0.25">
      <c r="A36" s="1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4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6" width="10" customWidth="1"/>
    <col min="7" max="7" width="11" customWidth="1"/>
    <col min="8" max="8" width="13" customWidth="1"/>
    <col min="9" max="9" width="10" customWidth="1"/>
    <col min="10" max="10" width="13" customWidth="1"/>
    <col min="11" max="11" width="10" customWidth="1"/>
    <col min="12" max="12" width="11" customWidth="1"/>
    <col min="13" max="13" width="10" customWidth="1"/>
    <col min="14" max="14" width="13" customWidth="1"/>
    <col min="15" max="16" width="12" customWidth="1"/>
    <col min="24" max="24" width="13" hidden="1" customWidth="1"/>
  </cols>
  <sheetData>
    <row r="1" spans="1:24" ht="15.75" x14ac:dyDescent="0.25">
      <c r="A1" s="18" t="s">
        <v>64</v>
      </c>
    </row>
    <row r="2" spans="1:24" ht="44.1" customHeight="1" x14ac:dyDescent="0.25">
      <c r="A2" s="19" t="s">
        <v>65</v>
      </c>
      <c r="B2" s="19" t="s">
        <v>66</v>
      </c>
      <c r="C2" s="19" t="s">
        <v>67</v>
      </c>
      <c r="D2" s="19" t="s">
        <v>68</v>
      </c>
      <c r="E2" s="19" t="s">
        <v>69</v>
      </c>
      <c r="F2" s="19" t="s">
        <v>70</v>
      </c>
      <c r="G2" s="19" t="s">
        <v>71</v>
      </c>
      <c r="H2" s="19" t="s">
        <v>72</v>
      </c>
      <c r="I2" s="19" t="s">
        <v>17</v>
      </c>
      <c r="J2" s="19" t="s">
        <v>73</v>
      </c>
      <c r="K2" s="19" t="s">
        <v>74</v>
      </c>
      <c r="L2" s="19" t="s">
        <v>75</v>
      </c>
      <c r="M2" s="19" t="s">
        <v>76</v>
      </c>
      <c r="N2" s="19" t="s">
        <v>77</v>
      </c>
      <c r="O2" s="19" t="s">
        <v>78</v>
      </c>
      <c r="P2" s="19" t="s">
        <v>79</v>
      </c>
      <c r="X2" s="20" t="s">
        <v>80</v>
      </c>
    </row>
    <row r="3" spans="1:24" x14ac:dyDescent="0.25">
      <c r="A3" s="21" t="s">
        <v>81</v>
      </c>
      <c r="B3" s="22"/>
      <c r="C3" s="23">
        <v>92</v>
      </c>
      <c r="D3" s="24">
        <v>1315</v>
      </c>
      <c r="E3" s="24">
        <v>1341</v>
      </c>
      <c r="F3" s="24">
        <v>1016</v>
      </c>
      <c r="G3" s="25">
        <f t="shared" ref="G3:G34" si="0">SUM(D3:F3)</f>
        <v>3672</v>
      </c>
      <c r="H3" s="25">
        <f t="shared" ref="H3:H34" si="1">C3</f>
        <v>92</v>
      </c>
      <c r="I3" s="25">
        <f>MIN(MAX(H3,Inputs!$C$8),Inputs!$C$7)</f>
        <v>92</v>
      </c>
      <c r="J3" s="26">
        <f>IF(I3&gt;0,G3/I3*Inputs!$C$7,0)</f>
        <v>3672</v>
      </c>
      <c r="K3" s="27">
        <f t="shared" ref="K3:K34" si="2">J3/SUM($J$3:$J$141)</f>
        <v>7.2645447051424894E-2</v>
      </c>
      <c r="L3" s="28">
        <f>K3*Inputs!$C$4</f>
        <v>2035.0169082515656</v>
      </c>
      <c r="M3" s="25">
        <f>IF(RANK(L3-INT(L3),$X$3:$X$141)+COUNTIF($X$3:X3,L3-INT(L3))-1&lt;=Inputs!$C$4-SUMPRODUCT(INT($L$3:$L$141)),1,0)</f>
        <v>0</v>
      </c>
      <c r="N3" s="25">
        <f t="shared" ref="N3:N34" si="3">INT(L3)+M3</f>
        <v>2035</v>
      </c>
      <c r="O3" s="24">
        <v>2421</v>
      </c>
      <c r="P3" s="25">
        <f t="shared" ref="P3:P34" si="4">IF(O3="","",N3-O3)</f>
        <v>-386</v>
      </c>
      <c r="X3" s="20">
        <f t="shared" ref="X3:X34" si="5">L3-INT(L3)</f>
        <v>1.6908251565610044E-2</v>
      </c>
    </row>
    <row r="4" spans="1:24" x14ac:dyDescent="0.25">
      <c r="A4" s="21" t="s">
        <v>82</v>
      </c>
      <c r="B4" s="22"/>
      <c r="C4" s="23">
        <v>92</v>
      </c>
      <c r="D4" s="24">
        <v>1252</v>
      </c>
      <c r="E4" s="24">
        <v>1043</v>
      </c>
      <c r="F4" s="24">
        <v>1335</v>
      </c>
      <c r="G4" s="25">
        <f t="shared" si="0"/>
        <v>3630</v>
      </c>
      <c r="H4" s="25">
        <f t="shared" si="1"/>
        <v>92</v>
      </c>
      <c r="I4" s="25">
        <f>MIN(MAX(H4,Inputs!$C$8),Inputs!$C$7)</f>
        <v>92</v>
      </c>
      <c r="J4" s="26">
        <f>IF(I4&gt;0,G4/I4*Inputs!$C$7,0)</f>
        <v>3630</v>
      </c>
      <c r="K4" s="27">
        <f t="shared" si="2"/>
        <v>7.1814535075346506E-2</v>
      </c>
      <c r="L4" s="28">
        <f>K4*Inputs!$C$4</f>
        <v>2011.7405710656817</v>
      </c>
      <c r="M4" s="25">
        <f>IF(RANK(L4-INT(L4),$X$3:$X$141)+COUNTIF($X$3:X4,L4-INT(L4))-1&lt;=Inputs!$C$4-SUMPRODUCT(INT($L$3:$L$141)),1,0)</f>
        <v>1</v>
      </c>
      <c r="N4" s="25">
        <f t="shared" si="3"/>
        <v>2012</v>
      </c>
      <c r="O4" s="24">
        <v>1333</v>
      </c>
      <c r="P4" s="25">
        <f t="shared" si="4"/>
        <v>679</v>
      </c>
      <c r="X4" s="20">
        <f t="shared" si="5"/>
        <v>0.74057106568170639</v>
      </c>
    </row>
    <row r="5" spans="1:24" x14ac:dyDescent="0.25">
      <c r="A5" s="21" t="s">
        <v>83</v>
      </c>
      <c r="B5" s="22"/>
      <c r="C5" s="23">
        <v>92</v>
      </c>
      <c r="D5" s="24">
        <v>818</v>
      </c>
      <c r="E5" s="24">
        <v>1187</v>
      </c>
      <c r="F5" s="24">
        <v>809</v>
      </c>
      <c r="G5" s="25">
        <f t="shared" si="0"/>
        <v>2814</v>
      </c>
      <c r="H5" s="25">
        <f t="shared" si="1"/>
        <v>92</v>
      </c>
      <c r="I5" s="25">
        <f>MIN(MAX(H5,Inputs!$C$8),Inputs!$C$7)</f>
        <v>92</v>
      </c>
      <c r="J5" s="26">
        <f>IF(I5&gt;0,G5/I5*Inputs!$C$7,0)</f>
        <v>2814</v>
      </c>
      <c r="K5" s="27">
        <f t="shared" si="2"/>
        <v>5.5671102397252085E-2</v>
      </c>
      <c r="L5" s="28">
        <f>K5*Inputs!$C$4</f>
        <v>1559.5145914542227</v>
      </c>
      <c r="M5" s="25">
        <f>IF(RANK(L5-INT(L5),$X$3:$X$141)+COUNTIF($X$3:X5,L5-INT(L5))-1&lt;=Inputs!$C$4-SUMPRODUCT(INT($L$3:$L$141)),1,0)</f>
        <v>0</v>
      </c>
      <c r="N5" s="25">
        <f t="shared" si="3"/>
        <v>1559</v>
      </c>
      <c r="O5" s="24">
        <v>1667</v>
      </c>
      <c r="P5" s="25">
        <f t="shared" si="4"/>
        <v>-108</v>
      </c>
      <c r="X5" s="20">
        <f t="shared" si="5"/>
        <v>0.51459145422268193</v>
      </c>
    </row>
    <row r="6" spans="1:24" x14ac:dyDescent="0.25">
      <c r="A6" s="21" t="s">
        <v>84</v>
      </c>
      <c r="B6" s="22"/>
      <c r="C6" s="23">
        <v>92</v>
      </c>
      <c r="D6" s="24">
        <v>939</v>
      </c>
      <c r="E6" s="24">
        <v>628</v>
      </c>
      <c r="F6" s="24">
        <v>1125</v>
      </c>
      <c r="G6" s="25">
        <f t="shared" si="0"/>
        <v>2692</v>
      </c>
      <c r="H6" s="25">
        <f t="shared" si="1"/>
        <v>92</v>
      </c>
      <c r="I6" s="25">
        <f>MIN(MAX(H6,Inputs!$C$8),Inputs!$C$7)</f>
        <v>92</v>
      </c>
      <c r="J6" s="26">
        <f>IF(I6&gt;0,G6/I6*Inputs!$C$7,0)</f>
        <v>2692</v>
      </c>
      <c r="K6" s="27">
        <f t="shared" si="2"/>
        <v>5.3257500942929144E-2</v>
      </c>
      <c r="L6" s="28">
        <f>K6*Inputs!$C$4</f>
        <v>1491.902373914274</v>
      </c>
      <c r="M6" s="25">
        <f>IF(RANK(L6-INT(L6),$X$3:$X$141)+COUNTIF($X$3:X6,L6-INT(L6))-1&lt;=Inputs!$C$4-SUMPRODUCT(INT($L$3:$L$141)),1,0)</f>
        <v>1</v>
      </c>
      <c r="N6" s="25">
        <f t="shared" si="3"/>
        <v>1492</v>
      </c>
      <c r="O6" s="24">
        <v>1723</v>
      </c>
      <c r="P6" s="25">
        <f t="shared" si="4"/>
        <v>-231</v>
      </c>
      <c r="X6" s="20">
        <f t="shared" si="5"/>
        <v>0.90237391427399416</v>
      </c>
    </row>
    <row r="7" spans="1:24" x14ac:dyDescent="0.25">
      <c r="A7" s="21" t="s">
        <v>85</v>
      </c>
      <c r="B7" s="22"/>
      <c r="C7" s="23">
        <v>92</v>
      </c>
      <c r="D7" s="24">
        <v>593</v>
      </c>
      <c r="E7" s="24">
        <v>650</v>
      </c>
      <c r="F7" s="24">
        <v>477</v>
      </c>
      <c r="G7" s="25">
        <f t="shared" si="0"/>
        <v>1720</v>
      </c>
      <c r="H7" s="25">
        <f t="shared" si="1"/>
        <v>92</v>
      </c>
      <c r="I7" s="25">
        <f>MIN(MAX(H7,Inputs!$C$8),Inputs!$C$7)</f>
        <v>92</v>
      </c>
      <c r="J7" s="26">
        <f>IF(I7&gt;0,G7/I7*Inputs!$C$7,0)</f>
        <v>1720</v>
      </c>
      <c r="K7" s="27">
        <f t="shared" si="2"/>
        <v>3.4027823782257847E-2</v>
      </c>
      <c r="L7" s="28">
        <f>K7*Inputs!$C$4</f>
        <v>953.22142761238911</v>
      </c>
      <c r="M7" s="25">
        <f>IF(RANK(L7-INT(L7),$X$3:$X$141)+COUNTIF($X$3:X7,L7-INT(L7))-1&lt;=Inputs!$C$4-SUMPRODUCT(INT($L$3:$L$141)),1,0)</f>
        <v>0</v>
      </c>
      <c r="N7" s="25">
        <f t="shared" si="3"/>
        <v>953</v>
      </c>
      <c r="O7" s="24">
        <v>722</v>
      </c>
      <c r="P7" s="25">
        <f t="shared" si="4"/>
        <v>231</v>
      </c>
      <c r="X7" s="20">
        <f t="shared" si="5"/>
        <v>0.2214276123891068</v>
      </c>
    </row>
    <row r="8" spans="1:24" x14ac:dyDescent="0.25">
      <c r="A8" s="21" t="s">
        <v>86</v>
      </c>
      <c r="B8" s="22"/>
      <c r="C8" s="23">
        <v>92</v>
      </c>
      <c r="D8" s="24">
        <v>407</v>
      </c>
      <c r="E8" s="24">
        <v>620</v>
      </c>
      <c r="F8" s="24">
        <v>592</v>
      </c>
      <c r="G8" s="25">
        <f t="shared" si="0"/>
        <v>1619</v>
      </c>
      <c r="H8" s="25">
        <f t="shared" si="1"/>
        <v>92</v>
      </c>
      <c r="I8" s="25">
        <f>MIN(MAX(H8,Inputs!$C$8),Inputs!$C$7)</f>
        <v>92</v>
      </c>
      <c r="J8" s="26">
        <f>IF(I8&gt;0,G8/I8*Inputs!$C$7,0)</f>
        <v>1619.0000000000002</v>
      </c>
      <c r="K8" s="27">
        <f t="shared" si="2"/>
        <v>3.2029678315974107E-2</v>
      </c>
      <c r="L8" s="28">
        <f>K8*Inputs!$C$4</f>
        <v>897.24737866538271</v>
      </c>
      <c r="M8" s="25">
        <f>IF(RANK(L8-INT(L8),$X$3:$X$141)+COUNTIF($X$3:X8,L8-INT(L8))-1&lt;=Inputs!$C$4-SUMPRODUCT(INT($L$3:$L$141)),1,0)</f>
        <v>0</v>
      </c>
      <c r="N8" s="25">
        <f t="shared" si="3"/>
        <v>897</v>
      </c>
      <c r="O8" s="24">
        <v>1084</v>
      </c>
      <c r="P8" s="25">
        <f t="shared" si="4"/>
        <v>-187</v>
      </c>
      <c r="X8" s="20">
        <f t="shared" si="5"/>
        <v>0.24737866538271192</v>
      </c>
    </row>
    <row r="9" spans="1:24" x14ac:dyDescent="0.25">
      <c r="A9" s="21" t="s">
        <v>87</v>
      </c>
      <c r="B9" s="22"/>
      <c r="C9" s="23">
        <v>92</v>
      </c>
      <c r="D9" s="24">
        <v>375</v>
      </c>
      <c r="E9" s="24">
        <v>581</v>
      </c>
      <c r="F9" s="24">
        <v>356</v>
      </c>
      <c r="G9" s="25">
        <f t="shared" si="0"/>
        <v>1312</v>
      </c>
      <c r="H9" s="25">
        <f t="shared" si="1"/>
        <v>92</v>
      </c>
      <c r="I9" s="25">
        <f>MIN(MAX(H9,Inputs!$C$8),Inputs!$C$7)</f>
        <v>92</v>
      </c>
      <c r="J9" s="26">
        <f>IF(I9&gt;0,G9/I9*Inputs!$C$7,0)</f>
        <v>1312</v>
      </c>
      <c r="K9" s="27">
        <f t="shared" si="2"/>
        <v>2.5956107443210637E-2</v>
      </c>
      <c r="L9" s="28">
        <f>K9*Inputs!$C$4</f>
        <v>727.10843780665959</v>
      </c>
      <c r="M9" s="25">
        <f>IF(RANK(L9-INT(L9),$X$3:$X$141)+COUNTIF($X$3:X9,L9-INT(L9))-1&lt;=Inputs!$C$4-SUMPRODUCT(INT($L$3:$L$141)),1,0)</f>
        <v>0</v>
      </c>
      <c r="N9" s="25">
        <f t="shared" si="3"/>
        <v>727</v>
      </c>
      <c r="O9" s="24">
        <v>667</v>
      </c>
      <c r="P9" s="25">
        <f t="shared" si="4"/>
        <v>60</v>
      </c>
      <c r="X9" s="20">
        <f t="shared" si="5"/>
        <v>0.10843780665959457</v>
      </c>
    </row>
    <row r="10" spans="1:24" x14ac:dyDescent="0.25">
      <c r="A10" s="21" t="s">
        <v>88</v>
      </c>
      <c r="B10" s="22"/>
      <c r="C10" s="23">
        <v>92</v>
      </c>
      <c r="D10" s="24">
        <v>459</v>
      </c>
      <c r="E10" s="24">
        <v>338</v>
      </c>
      <c r="F10" s="24">
        <v>460</v>
      </c>
      <c r="G10" s="25">
        <f t="shared" si="0"/>
        <v>1257</v>
      </c>
      <c r="H10" s="25">
        <f t="shared" si="1"/>
        <v>92</v>
      </c>
      <c r="I10" s="25">
        <f>MIN(MAX(H10,Inputs!$C$8),Inputs!$C$7)</f>
        <v>92</v>
      </c>
      <c r="J10" s="26">
        <f>IF(I10&gt;0,G10/I10*Inputs!$C$7,0)</f>
        <v>1257</v>
      </c>
      <c r="K10" s="27">
        <f t="shared" si="2"/>
        <v>2.4868008426917509E-2</v>
      </c>
      <c r="L10" s="28">
        <f>K10*Inputs!$C$4</f>
        <v>696.62752006324013</v>
      </c>
      <c r="M10" s="25">
        <f>IF(RANK(L10-INT(L10),$X$3:$X$141)+COUNTIF($X$3:X10,L10-INT(L10))-1&lt;=Inputs!$C$4-SUMPRODUCT(INT($L$3:$L$141)),1,0)</f>
        <v>1</v>
      </c>
      <c r="N10" s="25">
        <f t="shared" si="3"/>
        <v>697</v>
      </c>
      <c r="O10" s="24">
        <v>500</v>
      </c>
      <c r="P10" s="25">
        <f t="shared" si="4"/>
        <v>197</v>
      </c>
      <c r="X10" s="20">
        <f t="shared" si="5"/>
        <v>0.62752006324012655</v>
      </c>
    </row>
    <row r="11" spans="1:24" x14ac:dyDescent="0.25">
      <c r="A11" s="21" t="s">
        <v>89</v>
      </c>
      <c r="B11" s="22"/>
      <c r="C11" s="23">
        <v>92</v>
      </c>
      <c r="D11" s="24">
        <v>494</v>
      </c>
      <c r="E11" s="24">
        <v>326</v>
      </c>
      <c r="F11" s="24">
        <v>381</v>
      </c>
      <c r="G11" s="25">
        <f t="shared" si="0"/>
        <v>1201</v>
      </c>
      <c r="H11" s="25">
        <f t="shared" si="1"/>
        <v>92</v>
      </c>
      <c r="I11" s="25">
        <f>MIN(MAX(H11,Inputs!$C$8),Inputs!$C$7)</f>
        <v>92</v>
      </c>
      <c r="J11" s="26">
        <f>IF(I11&gt;0,G11/I11*Inputs!$C$7,0)</f>
        <v>1201</v>
      </c>
      <c r="K11" s="27">
        <f t="shared" si="2"/>
        <v>2.3760125792146324E-2</v>
      </c>
      <c r="L11" s="28">
        <f>K11*Inputs!$C$4</f>
        <v>665.59240381539496</v>
      </c>
      <c r="M11" s="25">
        <f>IF(RANK(L11-INT(L11),$X$3:$X$141)+COUNTIF($X$3:X11,L11-INT(L11))-1&lt;=Inputs!$C$4-SUMPRODUCT(INT($L$3:$L$141)),1,0)</f>
        <v>1</v>
      </c>
      <c r="N11" s="25">
        <f t="shared" si="3"/>
        <v>666</v>
      </c>
      <c r="O11" s="24">
        <v>444</v>
      </c>
      <c r="P11" s="25">
        <f t="shared" si="4"/>
        <v>222</v>
      </c>
      <c r="X11" s="20">
        <f t="shared" si="5"/>
        <v>0.59240381539495957</v>
      </c>
    </row>
    <row r="12" spans="1:24" x14ac:dyDescent="0.25">
      <c r="A12" s="21" t="s">
        <v>90</v>
      </c>
      <c r="B12" s="22"/>
      <c r="C12" s="23">
        <v>92</v>
      </c>
      <c r="D12" s="24">
        <v>189</v>
      </c>
      <c r="E12" s="24">
        <v>387</v>
      </c>
      <c r="F12" s="24">
        <v>577</v>
      </c>
      <c r="G12" s="25">
        <f t="shared" si="0"/>
        <v>1153</v>
      </c>
      <c r="H12" s="25">
        <f t="shared" si="1"/>
        <v>92</v>
      </c>
      <c r="I12" s="25">
        <f>MIN(MAX(H12,Inputs!$C$8),Inputs!$C$7)</f>
        <v>92</v>
      </c>
      <c r="J12" s="26">
        <f>IF(I12&gt;0,G12/I12*Inputs!$C$7,0)</f>
        <v>1153</v>
      </c>
      <c r="K12" s="27">
        <f t="shared" si="2"/>
        <v>2.2810512105199594E-2</v>
      </c>
      <c r="L12" s="28">
        <f>K12*Inputs!$C$4</f>
        <v>638.99087560295618</v>
      </c>
      <c r="M12" s="25">
        <f>IF(RANK(L12-INT(L12),$X$3:$X$141)+COUNTIF($X$3:X12,L12-INT(L12))-1&lt;=Inputs!$C$4-SUMPRODUCT(INT($L$3:$L$141)),1,0)</f>
        <v>1</v>
      </c>
      <c r="N12" s="25">
        <f t="shared" si="3"/>
        <v>639</v>
      </c>
      <c r="O12" s="24">
        <v>278</v>
      </c>
      <c r="P12" s="25">
        <f t="shared" si="4"/>
        <v>361</v>
      </c>
      <c r="X12" s="20">
        <f t="shared" si="5"/>
        <v>0.99087560295618005</v>
      </c>
    </row>
    <row r="13" spans="1:24" x14ac:dyDescent="0.25">
      <c r="A13" s="21" t="s">
        <v>91</v>
      </c>
      <c r="B13" s="22"/>
      <c r="C13" s="23">
        <v>92</v>
      </c>
      <c r="D13" s="24">
        <v>393</v>
      </c>
      <c r="E13" s="24">
        <v>414</v>
      </c>
      <c r="F13" s="24">
        <v>327</v>
      </c>
      <c r="G13" s="25">
        <f t="shared" si="0"/>
        <v>1134</v>
      </c>
      <c r="H13" s="25">
        <f t="shared" si="1"/>
        <v>92</v>
      </c>
      <c r="I13" s="25">
        <f>MIN(MAX(H13,Inputs!$C$8),Inputs!$C$7)</f>
        <v>92</v>
      </c>
      <c r="J13" s="26">
        <f>IF(I13&gt;0,G13/I13*Inputs!$C$7,0)</f>
        <v>1134</v>
      </c>
      <c r="K13" s="27">
        <f t="shared" si="2"/>
        <v>2.2434623354116511E-2</v>
      </c>
      <c r="L13" s="28">
        <f>K13*Inputs!$C$4</f>
        <v>628.46110401886585</v>
      </c>
      <c r="M13" s="25">
        <f>IF(RANK(L13-INT(L13),$X$3:$X$141)+COUNTIF($X$3:X13,L13-INT(L13))-1&lt;=Inputs!$C$4-SUMPRODUCT(INT($L$3:$L$141)),1,0)</f>
        <v>0</v>
      </c>
      <c r="N13" s="25">
        <f t="shared" si="3"/>
        <v>628</v>
      </c>
      <c r="O13" s="24">
        <v>444</v>
      </c>
      <c r="P13" s="25">
        <f t="shared" si="4"/>
        <v>184</v>
      </c>
      <c r="X13" s="20">
        <f t="shared" si="5"/>
        <v>0.4611040188658535</v>
      </c>
    </row>
    <row r="14" spans="1:24" x14ac:dyDescent="0.25">
      <c r="A14" s="21" t="s">
        <v>92</v>
      </c>
      <c r="B14" s="22"/>
      <c r="C14" s="23">
        <v>92</v>
      </c>
      <c r="D14" s="24">
        <v>350</v>
      </c>
      <c r="E14" s="24">
        <v>417</v>
      </c>
      <c r="F14" s="24">
        <v>258</v>
      </c>
      <c r="G14" s="25">
        <f t="shared" si="0"/>
        <v>1025</v>
      </c>
      <c r="H14" s="25">
        <f t="shared" si="1"/>
        <v>92</v>
      </c>
      <c r="I14" s="25">
        <f>MIN(MAX(H14,Inputs!$C$8),Inputs!$C$7)</f>
        <v>92</v>
      </c>
      <c r="J14" s="26">
        <f>IF(I14&gt;0,G14/I14*Inputs!$C$7,0)</f>
        <v>1025</v>
      </c>
      <c r="K14" s="27">
        <f t="shared" si="2"/>
        <v>2.0278208940008313E-2</v>
      </c>
      <c r="L14" s="28">
        <f>K14*Inputs!$C$4</f>
        <v>568.05346703645284</v>
      </c>
      <c r="M14" s="25">
        <f>IF(RANK(L14-INT(L14),$X$3:$X$141)+COUNTIF($X$3:X14,L14-INT(L14))-1&lt;=Inputs!$C$4-SUMPRODUCT(INT($L$3:$L$141)),1,0)</f>
        <v>0</v>
      </c>
      <c r="N14" s="25">
        <f t="shared" si="3"/>
        <v>568</v>
      </c>
      <c r="O14" s="24">
        <v>444</v>
      </c>
      <c r="P14" s="25">
        <f t="shared" si="4"/>
        <v>124</v>
      </c>
      <c r="X14" s="20">
        <f t="shared" si="5"/>
        <v>5.3467036452843786E-2</v>
      </c>
    </row>
    <row r="15" spans="1:24" x14ac:dyDescent="0.25">
      <c r="A15" s="21" t="s">
        <v>93</v>
      </c>
      <c r="B15" s="22"/>
      <c r="C15" s="23">
        <v>92</v>
      </c>
      <c r="D15" s="24">
        <v>322</v>
      </c>
      <c r="E15" s="24">
        <v>318</v>
      </c>
      <c r="F15" s="24">
        <v>372</v>
      </c>
      <c r="G15" s="25">
        <f t="shared" si="0"/>
        <v>1012</v>
      </c>
      <c r="H15" s="25">
        <f t="shared" si="1"/>
        <v>92</v>
      </c>
      <c r="I15" s="25">
        <f>MIN(MAX(H15,Inputs!$C$8),Inputs!$C$7)</f>
        <v>92</v>
      </c>
      <c r="J15" s="26">
        <f>IF(I15&gt;0,G15/I15*Inputs!$C$7,0)</f>
        <v>1012</v>
      </c>
      <c r="K15" s="27">
        <f t="shared" si="2"/>
        <v>2.0021021899793573E-2</v>
      </c>
      <c r="L15" s="28">
        <f>K15*Inputs!$C$4</f>
        <v>560.84888647891739</v>
      </c>
      <c r="M15" s="25">
        <f>IF(RANK(L15-INT(L15),$X$3:$X$141)+COUNTIF($X$3:X15,L15-INT(L15))-1&lt;=Inputs!$C$4-SUMPRODUCT(INT($L$3:$L$141)),1,0)</f>
        <v>1</v>
      </c>
      <c r="N15" s="25">
        <f t="shared" si="3"/>
        <v>561</v>
      </c>
      <c r="O15" s="24">
        <v>645</v>
      </c>
      <c r="P15" s="25">
        <f t="shared" si="4"/>
        <v>-84</v>
      </c>
      <c r="X15" s="20">
        <f t="shared" si="5"/>
        <v>0.84888647891739311</v>
      </c>
    </row>
    <row r="16" spans="1:24" x14ac:dyDescent="0.25">
      <c r="A16" s="21" t="s">
        <v>94</v>
      </c>
      <c r="B16" s="22"/>
      <c r="C16" s="23">
        <v>92</v>
      </c>
      <c r="D16" s="24">
        <v>321</v>
      </c>
      <c r="E16" s="24">
        <v>321</v>
      </c>
      <c r="F16" s="24">
        <v>342</v>
      </c>
      <c r="G16" s="25">
        <f t="shared" si="0"/>
        <v>984</v>
      </c>
      <c r="H16" s="25">
        <f t="shared" si="1"/>
        <v>92</v>
      </c>
      <c r="I16" s="25">
        <f>MIN(MAX(H16,Inputs!$C$8),Inputs!$C$7)</f>
        <v>92</v>
      </c>
      <c r="J16" s="26">
        <f>IF(I16&gt;0,G16/I16*Inputs!$C$7,0)</f>
        <v>984</v>
      </c>
      <c r="K16" s="27">
        <f t="shared" si="2"/>
        <v>1.9467080582407981E-2</v>
      </c>
      <c r="L16" s="28">
        <f>K16*Inputs!$C$4</f>
        <v>545.33132835499475</v>
      </c>
      <c r="M16" s="25">
        <f>IF(RANK(L16-INT(L16),$X$3:$X$141)+COUNTIF($X$3:X16,L16-INT(L16))-1&lt;=Inputs!$C$4-SUMPRODUCT(INT($L$3:$L$141)),1,0)</f>
        <v>0</v>
      </c>
      <c r="N16" s="25">
        <f t="shared" si="3"/>
        <v>545</v>
      </c>
      <c r="O16" s="24">
        <v>619</v>
      </c>
      <c r="P16" s="25">
        <f t="shared" si="4"/>
        <v>-74</v>
      </c>
      <c r="X16" s="20">
        <f t="shared" si="5"/>
        <v>0.33132835499475277</v>
      </c>
    </row>
    <row r="17" spans="1:24" x14ac:dyDescent="0.25">
      <c r="A17" s="21" t="s">
        <v>95</v>
      </c>
      <c r="B17" s="22"/>
      <c r="C17" s="23">
        <v>92</v>
      </c>
      <c r="D17" s="24">
        <v>301</v>
      </c>
      <c r="E17" s="24">
        <v>279</v>
      </c>
      <c r="F17" s="24">
        <v>326</v>
      </c>
      <c r="G17" s="25">
        <f t="shared" si="0"/>
        <v>906</v>
      </c>
      <c r="H17" s="25">
        <f t="shared" si="1"/>
        <v>92</v>
      </c>
      <c r="I17" s="25">
        <f>MIN(MAX(H17,Inputs!$C$8),Inputs!$C$7)</f>
        <v>92</v>
      </c>
      <c r="J17" s="26">
        <f>IF(I17&gt;0,G17/I17*Inputs!$C$7,0)</f>
        <v>906</v>
      </c>
      <c r="K17" s="27">
        <f t="shared" si="2"/>
        <v>1.7923958341119543E-2</v>
      </c>
      <c r="L17" s="28">
        <f>K17*Inputs!$C$4</f>
        <v>502.10384500978176</v>
      </c>
      <c r="M17" s="25">
        <f>IF(RANK(L17-INT(L17),$X$3:$X$141)+COUNTIF($X$3:X17,L17-INT(L17))-1&lt;=Inputs!$C$4-SUMPRODUCT(INT($L$3:$L$141)),1,0)</f>
        <v>0</v>
      </c>
      <c r="N17" s="25">
        <f t="shared" si="3"/>
        <v>502</v>
      </c>
      <c r="O17" s="24">
        <v>411</v>
      </c>
      <c r="P17" s="25">
        <f t="shared" si="4"/>
        <v>91</v>
      </c>
      <c r="X17" s="20">
        <f t="shared" si="5"/>
        <v>0.10384500978176447</v>
      </c>
    </row>
    <row r="18" spans="1:24" x14ac:dyDescent="0.25">
      <c r="A18" s="21" t="s">
        <v>96</v>
      </c>
      <c r="B18" s="22"/>
      <c r="C18" s="23">
        <v>92</v>
      </c>
      <c r="D18" s="24">
        <v>210</v>
      </c>
      <c r="E18" s="24">
        <v>394</v>
      </c>
      <c r="F18" s="24">
        <v>294</v>
      </c>
      <c r="G18" s="25">
        <f t="shared" si="0"/>
        <v>898</v>
      </c>
      <c r="H18" s="25">
        <f t="shared" si="1"/>
        <v>92</v>
      </c>
      <c r="I18" s="25">
        <f>MIN(MAX(H18,Inputs!$C$8),Inputs!$C$7)</f>
        <v>92</v>
      </c>
      <c r="J18" s="26">
        <f>IF(I18&gt;0,G18/I18*Inputs!$C$7,0)</f>
        <v>898</v>
      </c>
      <c r="K18" s="27">
        <f t="shared" si="2"/>
        <v>1.7765689393295085E-2</v>
      </c>
      <c r="L18" s="28">
        <f>K18*Inputs!$C$4</f>
        <v>497.67025697437521</v>
      </c>
      <c r="M18" s="25">
        <f>IF(RANK(L18-INT(L18),$X$3:$X$141)+COUNTIF($X$3:X18,L18-INT(L18))-1&lt;=Inputs!$C$4-SUMPRODUCT(INT($L$3:$L$141)),1,0)</f>
        <v>1</v>
      </c>
      <c r="N18" s="25">
        <f t="shared" si="3"/>
        <v>498</v>
      </c>
      <c r="O18" s="24">
        <v>587</v>
      </c>
      <c r="P18" s="25">
        <f t="shared" si="4"/>
        <v>-89</v>
      </c>
      <c r="X18" s="20">
        <f t="shared" si="5"/>
        <v>0.67025697437520648</v>
      </c>
    </row>
    <row r="19" spans="1:24" x14ac:dyDescent="0.25">
      <c r="A19" s="21" t="s">
        <v>97</v>
      </c>
      <c r="B19" s="22"/>
      <c r="C19" s="23">
        <v>92</v>
      </c>
      <c r="D19" s="24">
        <v>273</v>
      </c>
      <c r="E19" s="24">
        <v>296</v>
      </c>
      <c r="F19" s="24">
        <v>291</v>
      </c>
      <c r="G19" s="25">
        <f t="shared" si="0"/>
        <v>860</v>
      </c>
      <c r="H19" s="25">
        <f t="shared" si="1"/>
        <v>92</v>
      </c>
      <c r="I19" s="25">
        <f>MIN(MAX(H19,Inputs!$C$8),Inputs!$C$7)</f>
        <v>92</v>
      </c>
      <c r="J19" s="26">
        <f>IF(I19&gt;0,G19/I19*Inputs!$C$7,0)</f>
        <v>860</v>
      </c>
      <c r="K19" s="27">
        <f t="shared" si="2"/>
        <v>1.7013911891128924E-2</v>
      </c>
      <c r="L19" s="28">
        <f>K19*Inputs!$C$4</f>
        <v>476.61071380619455</v>
      </c>
      <c r="M19" s="25">
        <f>IF(RANK(L19-INT(L19),$X$3:$X$141)+COUNTIF($X$3:X19,L19-INT(L19))-1&lt;=Inputs!$C$4-SUMPRODUCT(INT($L$3:$L$141)),1,0)</f>
        <v>1</v>
      </c>
      <c r="N19" s="25">
        <f t="shared" si="3"/>
        <v>477</v>
      </c>
      <c r="O19" s="24">
        <v>722</v>
      </c>
      <c r="P19" s="25">
        <f t="shared" si="4"/>
        <v>-245</v>
      </c>
      <c r="X19" s="20">
        <f t="shared" si="5"/>
        <v>0.6107138061945534</v>
      </c>
    </row>
    <row r="20" spans="1:24" x14ac:dyDescent="0.25">
      <c r="A20" s="21" t="s">
        <v>98</v>
      </c>
      <c r="B20" s="22"/>
      <c r="C20" s="23">
        <v>92</v>
      </c>
      <c r="D20" s="24">
        <v>258</v>
      </c>
      <c r="E20" s="24">
        <v>301</v>
      </c>
      <c r="F20" s="24">
        <v>240</v>
      </c>
      <c r="G20" s="25">
        <f t="shared" si="0"/>
        <v>799</v>
      </c>
      <c r="H20" s="25">
        <f t="shared" si="1"/>
        <v>92</v>
      </c>
      <c r="I20" s="25">
        <f>MIN(MAX(H20,Inputs!$C$8),Inputs!$C$7)</f>
        <v>92</v>
      </c>
      <c r="J20" s="26">
        <f>IF(I20&gt;0,G20/I20*Inputs!$C$7,0)</f>
        <v>799</v>
      </c>
      <c r="K20" s="27">
        <f t="shared" si="2"/>
        <v>1.5807111163967456E-2</v>
      </c>
      <c r="L20" s="28">
        <f>K20*Inputs!$C$4</f>
        <v>442.80460503622038</v>
      </c>
      <c r="M20" s="25">
        <f>IF(RANK(L20-INT(L20),$X$3:$X$141)+COUNTIF($X$3:X20,L20-INT(L20))-1&lt;=Inputs!$C$4-SUMPRODUCT(INT($L$3:$L$141)),1,0)</f>
        <v>1</v>
      </c>
      <c r="N20" s="25">
        <f t="shared" si="3"/>
        <v>443</v>
      </c>
      <c r="O20" s="24">
        <v>389</v>
      </c>
      <c r="P20" s="25">
        <f t="shared" si="4"/>
        <v>54</v>
      </c>
      <c r="X20" s="20">
        <f t="shared" si="5"/>
        <v>0.80460503622038004</v>
      </c>
    </row>
    <row r="21" spans="1:24" x14ac:dyDescent="0.25">
      <c r="A21" s="21" t="s">
        <v>99</v>
      </c>
      <c r="B21" s="22"/>
      <c r="C21" s="23">
        <v>92</v>
      </c>
      <c r="D21" s="24">
        <v>328</v>
      </c>
      <c r="E21" s="24">
        <v>203</v>
      </c>
      <c r="F21" s="24">
        <v>267</v>
      </c>
      <c r="G21" s="25">
        <f t="shared" si="0"/>
        <v>798</v>
      </c>
      <c r="H21" s="25">
        <f t="shared" si="1"/>
        <v>92</v>
      </c>
      <c r="I21" s="25">
        <f>MIN(MAX(H21,Inputs!$C$8),Inputs!$C$7)</f>
        <v>92</v>
      </c>
      <c r="J21" s="26">
        <f>IF(I21&gt;0,G21/I21*Inputs!$C$7,0)</f>
        <v>798.00000000000011</v>
      </c>
      <c r="K21" s="27">
        <f t="shared" si="2"/>
        <v>1.57873275454894E-2</v>
      </c>
      <c r="L21" s="28">
        <f>K21*Inputs!$C$4</f>
        <v>442.25040653179457</v>
      </c>
      <c r="M21" s="25">
        <f>IF(RANK(L21-INT(L21),$X$3:$X$141)+COUNTIF($X$3:X21,L21-INT(L21))-1&lt;=Inputs!$C$4-SUMPRODUCT(INT($L$3:$L$141)),1,0)</f>
        <v>0</v>
      </c>
      <c r="N21" s="25">
        <f t="shared" si="3"/>
        <v>442</v>
      </c>
      <c r="O21" s="24">
        <v>343</v>
      </c>
      <c r="P21" s="25">
        <f t="shared" si="4"/>
        <v>99</v>
      </c>
      <c r="X21" s="20">
        <f t="shared" si="5"/>
        <v>0.2504065317945674</v>
      </c>
    </row>
    <row r="22" spans="1:24" x14ac:dyDescent="0.25">
      <c r="A22" s="21" t="s">
        <v>100</v>
      </c>
      <c r="B22" s="22"/>
      <c r="C22" s="23">
        <v>92</v>
      </c>
      <c r="D22" s="24">
        <v>255</v>
      </c>
      <c r="E22" s="24">
        <v>336</v>
      </c>
      <c r="F22" s="24">
        <v>162</v>
      </c>
      <c r="G22" s="25">
        <f t="shared" si="0"/>
        <v>753</v>
      </c>
      <c r="H22" s="25">
        <f t="shared" si="1"/>
        <v>92</v>
      </c>
      <c r="I22" s="25">
        <f>MIN(MAX(H22,Inputs!$C$8),Inputs!$C$7)</f>
        <v>92</v>
      </c>
      <c r="J22" s="26">
        <f>IF(I22&gt;0,G22/I22*Inputs!$C$7,0)</f>
        <v>753</v>
      </c>
      <c r="K22" s="27">
        <f t="shared" si="2"/>
        <v>1.4897064713976838E-2</v>
      </c>
      <c r="L22" s="28">
        <f>K22*Inputs!$C$4</f>
        <v>417.31147383263317</v>
      </c>
      <c r="M22" s="25">
        <f>IF(RANK(L22-INT(L22),$X$3:$X$141)+COUNTIF($X$3:X22,L22-INT(L22))-1&lt;=Inputs!$C$4-SUMPRODUCT(INT($L$3:$L$141)),1,0)</f>
        <v>0</v>
      </c>
      <c r="N22" s="25">
        <f t="shared" si="3"/>
        <v>417</v>
      </c>
      <c r="O22" s="24">
        <v>389</v>
      </c>
      <c r="P22" s="25">
        <f t="shared" si="4"/>
        <v>28</v>
      </c>
      <c r="X22" s="20">
        <f t="shared" si="5"/>
        <v>0.31147383263316897</v>
      </c>
    </row>
    <row r="23" spans="1:24" x14ac:dyDescent="0.25">
      <c r="A23" s="21" t="s">
        <v>101</v>
      </c>
      <c r="B23" s="22"/>
      <c r="C23" s="23">
        <v>92</v>
      </c>
      <c r="D23" s="24">
        <v>246</v>
      </c>
      <c r="E23" s="24">
        <v>243</v>
      </c>
      <c r="F23" s="24">
        <v>202</v>
      </c>
      <c r="G23" s="25">
        <f t="shared" si="0"/>
        <v>691</v>
      </c>
      <c r="H23" s="25">
        <f t="shared" si="1"/>
        <v>92</v>
      </c>
      <c r="I23" s="25">
        <f>MIN(MAX(H23,Inputs!$C$8),Inputs!$C$7)</f>
        <v>92</v>
      </c>
      <c r="J23" s="26">
        <f>IF(I23&gt;0,G23/I23*Inputs!$C$7,0)</f>
        <v>691</v>
      </c>
      <c r="K23" s="27">
        <f t="shared" si="2"/>
        <v>1.3670480368337311E-2</v>
      </c>
      <c r="L23" s="28">
        <f>K23*Inputs!$C$4</f>
        <v>382.95116655823307</v>
      </c>
      <c r="M23" s="25">
        <f>IF(RANK(L23-INT(L23),$X$3:$X$141)+COUNTIF($X$3:X23,L23-INT(L23))-1&lt;=Inputs!$C$4-SUMPRODUCT(INT($L$3:$L$141)),1,0)</f>
        <v>1</v>
      </c>
      <c r="N23" s="25">
        <f t="shared" si="3"/>
        <v>383</v>
      </c>
      <c r="O23" s="24">
        <v>333</v>
      </c>
      <c r="P23" s="25">
        <f t="shared" si="4"/>
        <v>50</v>
      </c>
      <c r="X23" s="20">
        <f t="shared" si="5"/>
        <v>0.95116655823306928</v>
      </c>
    </row>
    <row r="24" spans="1:24" x14ac:dyDescent="0.25">
      <c r="A24" s="21" t="s">
        <v>102</v>
      </c>
      <c r="B24" s="22"/>
      <c r="C24" s="23">
        <v>92</v>
      </c>
      <c r="D24" s="24">
        <v>246</v>
      </c>
      <c r="E24" s="24">
        <v>182</v>
      </c>
      <c r="F24" s="24">
        <v>243</v>
      </c>
      <c r="G24" s="25">
        <f t="shared" si="0"/>
        <v>671</v>
      </c>
      <c r="H24" s="25">
        <f t="shared" si="1"/>
        <v>92</v>
      </c>
      <c r="I24" s="25">
        <f>MIN(MAX(H24,Inputs!$C$8),Inputs!$C$7)</f>
        <v>92</v>
      </c>
      <c r="J24" s="26">
        <f>IF(I24&gt;0,G24/I24*Inputs!$C$7,0)</f>
        <v>671</v>
      </c>
      <c r="K24" s="27">
        <f t="shared" si="2"/>
        <v>1.3274807998776172E-2</v>
      </c>
      <c r="L24" s="28">
        <f>K24*Inputs!$C$4</f>
        <v>371.86719646971693</v>
      </c>
      <c r="M24" s="25">
        <f>IF(RANK(L24-INT(L24),$X$3:$X$141)+COUNTIF($X$3:X24,L24-INT(L24))-1&lt;=Inputs!$C$4-SUMPRODUCT(INT($L$3:$L$141)),1,0)</f>
        <v>1</v>
      </c>
      <c r="N24" s="25">
        <f t="shared" si="3"/>
        <v>372</v>
      </c>
      <c r="O24" s="24">
        <v>402</v>
      </c>
      <c r="P24" s="25">
        <f t="shared" si="4"/>
        <v>-30</v>
      </c>
      <c r="X24" s="20">
        <f t="shared" si="5"/>
        <v>0.8671964697169301</v>
      </c>
    </row>
    <row r="25" spans="1:24" x14ac:dyDescent="0.25">
      <c r="A25" s="21" t="s">
        <v>103</v>
      </c>
      <c r="B25" s="22"/>
      <c r="C25" s="23">
        <v>92</v>
      </c>
      <c r="D25" s="24">
        <v>315</v>
      </c>
      <c r="E25" s="24">
        <v>183</v>
      </c>
      <c r="F25" s="24">
        <v>159</v>
      </c>
      <c r="G25" s="25">
        <f t="shared" si="0"/>
        <v>657</v>
      </c>
      <c r="H25" s="25">
        <f t="shared" si="1"/>
        <v>92</v>
      </c>
      <c r="I25" s="25">
        <f>MIN(MAX(H25,Inputs!$C$8),Inputs!$C$7)</f>
        <v>92</v>
      </c>
      <c r="J25" s="26">
        <f>IF(I25&gt;0,G25/I25*Inputs!$C$7,0)</f>
        <v>657</v>
      </c>
      <c r="K25" s="27">
        <f t="shared" si="2"/>
        <v>1.2997837340083376E-2</v>
      </c>
      <c r="L25" s="28">
        <f>K25*Inputs!$C$4</f>
        <v>364.10841740775561</v>
      </c>
      <c r="M25" s="25">
        <f>IF(RANK(L25-INT(L25),$X$3:$X$141)+COUNTIF($X$3:X25,L25-INT(L25))-1&lt;=Inputs!$C$4-SUMPRODUCT(INT($L$3:$L$141)),1,0)</f>
        <v>0</v>
      </c>
      <c r="N25" s="25">
        <f t="shared" si="3"/>
        <v>364</v>
      </c>
      <c r="O25" s="24">
        <v>444</v>
      </c>
      <c r="P25" s="25">
        <f t="shared" si="4"/>
        <v>-80</v>
      </c>
      <c r="X25" s="20">
        <f t="shared" si="5"/>
        <v>0.10841740775560993</v>
      </c>
    </row>
    <row r="26" spans="1:24" x14ac:dyDescent="0.25">
      <c r="A26" s="21" t="s">
        <v>104</v>
      </c>
      <c r="B26" s="22"/>
      <c r="C26" s="23">
        <v>92</v>
      </c>
      <c r="D26" s="24">
        <v>198</v>
      </c>
      <c r="E26" s="24">
        <v>253</v>
      </c>
      <c r="F26" s="24">
        <v>197</v>
      </c>
      <c r="G26" s="25">
        <f t="shared" si="0"/>
        <v>648</v>
      </c>
      <c r="H26" s="25">
        <f t="shared" si="1"/>
        <v>92</v>
      </c>
      <c r="I26" s="25">
        <f>MIN(MAX(H26,Inputs!$C$8),Inputs!$C$7)</f>
        <v>92</v>
      </c>
      <c r="J26" s="26">
        <f>IF(I26&gt;0,G26/I26*Inputs!$C$7,0)</f>
        <v>648</v>
      </c>
      <c r="K26" s="27">
        <f t="shared" si="2"/>
        <v>1.2819784773780865E-2</v>
      </c>
      <c r="L26" s="28">
        <f>K26*Inputs!$C$4</f>
        <v>359.12063086792335</v>
      </c>
      <c r="M26" s="25">
        <f>IF(RANK(L26-INT(L26),$X$3:$X$141)+COUNTIF($X$3:X26,L26-INT(L26))-1&lt;=Inputs!$C$4-SUMPRODUCT(INT($L$3:$L$141)),1,0)</f>
        <v>0</v>
      </c>
      <c r="N26" s="25">
        <f t="shared" si="3"/>
        <v>359</v>
      </c>
      <c r="O26" s="24">
        <v>414</v>
      </c>
      <c r="P26" s="25">
        <f t="shared" si="4"/>
        <v>-55</v>
      </c>
      <c r="X26" s="20">
        <f t="shared" si="5"/>
        <v>0.12063086792335298</v>
      </c>
    </row>
    <row r="27" spans="1:24" x14ac:dyDescent="0.25">
      <c r="A27" s="21" t="s">
        <v>105</v>
      </c>
      <c r="B27" s="22"/>
      <c r="C27" s="23">
        <v>92</v>
      </c>
      <c r="D27" s="24">
        <v>209</v>
      </c>
      <c r="E27" s="24">
        <v>222</v>
      </c>
      <c r="F27" s="24">
        <v>212</v>
      </c>
      <c r="G27" s="25">
        <f t="shared" si="0"/>
        <v>643</v>
      </c>
      <c r="H27" s="25">
        <f t="shared" si="1"/>
        <v>92</v>
      </c>
      <c r="I27" s="25">
        <f>MIN(MAX(H27,Inputs!$C$8),Inputs!$C$7)</f>
        <v>92</v>
      </c>
      <c r="J27" s="26">
        <f>IF(I27&gt;0,G27/I27*Inputs!$C$7,0)</f>
        <v>643</v>
      </c>
      <c r="K27" s="27">
        <f t="shared" si="2"/>
        <v>1.272086668139058E-2</v>
      </c>
      <c r="L27" s="28">
        <f>K27*Inputs!$C$4</f>
        <v>356.34963834579435</v>
      </c>
      <c r="M27" s="25">
        <f>IF(RANK(L27-INT(L27),$X$3:$X$141)+COUNTIF($X$3:X27,L27-INT(L27))-1&lt;=Inputs!$C$4-SUMPRODUCT(INT($L$3:$L$141)),1,0)</f>
        <v>0</v>
      </c>
      <c r="N27" s="25">
        <f t="shared" si="3"/>
        <v>356</v>
      </c>
      <c r="O27" s="24">
        <v>333</v>
      </c>
      <c r="P27" s="25">
        <f t="shared" si="4"/>
        <v>23</v>
      </c>
      <c r="X27" s="20">
        <f t="shared" si="5"/>
        <v>0.34963834579434661</v>
      </c>
    </row>
    <row r="28" spans="1:24" x14ac:dyDescent="0.25">
      <c r="A28" s="21" t="s">
        <v>106</v>
      </c>
      <c r="B28" s="22"/>
      <c r="C28" s="23">
        <v>92</v>
      </c>
      <c r="D28" s="24">
        <v>174</v>
      </c>
      <c r="E28" s="24">
        <v>222</v>
      </c>
      <c r="F28" s="24">
        <v>201</v>
      </c>
      <c r="G28" s="25">
        <f t="shared" si="0"/>
        <v>597</v>
      </c>
      <c r="H28" s="25">
        <f t="shared" si="1"/>
        <v>92</v>
      </c>
      <c r="I28" s="25">
        <f>MIN(MAX(H28,Inputs!$C$8),Inputs!$C$7)</f>
        <v>92</v>
      </c>
      <c r="J28" s="26">
        <f>IF(I28&gt;0,G28/I28*Inputs!$C$7,0)</f>
        <v>597</v>
      </c>
      <c r="K28" s="27">
        <f t="shared" si="2"/>
        <v>1.1810820231399963E-2</v>
      </c>
      <c r="L28" s="28">
        <f>K28*Inputs!$C$4</f>
        <v>330.85650714220719</v>
      </c>
      <c r="M28" s="25">
        <f>IF(RANK(L28-INT(L28),$X$3:$X$141)+COUNTIF($X$3:X28,L28-INT(L28))-1&lt;=Inputs!$C$4-SUMPRODUCT(INT($L$3:$L$141)),1,0)</f>
        <v>1</v>
      </c>
      <c r="N28" s="25">
        <f t="shared" si="3"/>
        <v>331</v>
      </c>
      <c r="O28" s="24">
        <v>270</v>
      </c>
      <c r="P28" s="25">
        <f t="shared" si="4"/>
        <v>61</v>
      </c>
      <c r="X28" s="20">
        <f t="shared" si="5"/>
        <v>0.85650714220719237</v>
      </c>
    </row>
    <row r="29" spans="1:24" x14ac:dyDescent="0.25">
      <c r="A29" s="21" t="s">
        <v>107</v>
      </c>
      <c r="B29" s="22"/>
      <c r="C29" s="23">
        <v>92</v>
      </c>
      <c r="D29" s="24">
        <v>115</v>
      </c>
      <c r="E29" s="24">
        <v>335</v>
      </c>
      <c r="F29" s="24">
        <v>145</v>
      </c>
      <c r="G29" s="25">
        <f t="shared" si="0"/>
        <v>595</v>
      </c>
      <c r="H29" s="25">
        <f t="shared" si="1"/>
        <v>92</v>
      </c>
      <c r="I29" s="25">
        <f>MIN(MAX(H29,Inputs!$C$8),Inputs!$C$7)</f>
        <v>92</v>
      </c>
      <c r="J29" s="26">
        <f>IF(I29&gt;0,G29/I29*Inputs!$C$7,0)</f>
        <v>595</v>
      </c>
      <c r="K29" s="27">
        <f t="shared" si="2"/>
        <v>1.177125299444385E-2</v>
      </c>
      <c r="L29" s="28">
        <f>K29*Inputs!$C$4</f>
        <v>329.74811013335557</v>
      </c>
      <c r="M29" s="25">
        <f>IF(RANK(L29-INT(L29),$X$3:$X$141)+COUNTIF($X$3:X29,L29-INT(L29))-1&lt;=Inputs!$C$4-SUMPRODUCT(INT($L$3:$L$141)),1,0)</f>
        <v>1</v>
      </c>
      <c r="N29" s="25">
        <f t="shared" si="3"/>
        <v>330</v>
      </c>
      <c r="O29" s="24">
        <v>333</v>
      </c>
      <c r="P29" s="25">
        <f t="shared" si="4"/>
        <v>-3</v>
      </c>
      <c r="X29" s="20">
        <f t="shared" si="5"/>
        <v>0.74811013335556709</v>
      </c>
    </row>
    <row r="30" spans="1:24" x14ac:dyDescent="0.25">
      <c r="A30" s="21" t="s">
        <v>108</v>
      </c>
      <c r="B30" s="22"/>
      <c r="C30" s="23">
        <v>92</v>
      </c>
      <c r="D30" s="24">
        <v>241</v>
      </c>
      <c r="E30" s="24">
        <v>204</v>
      </c>
      <c r="F30" s="24">
        <v>140</v>
      </c>
      <c r="G30" s="25">
        <f t="shared" si="0"/>
        <v>585</v>
      </c>
      <c r="H30" s="25">
        <f t="shared" si="1"/>
        <v>92</v>
      </c>
      <c r="I30" s="25">
        <f>MIN(MAX(H30,Inputs!$C$8),Inputs!$C$7)</f>
        <v>92</v>
      </c>
      <c r="J30" s="26">
        <f>IF(I30&gt;0,G30/I30*Inputs!$C$7,0)</f>
        <v>585</v>
      </c>
      <c r="K30" s="27">
        <f t="shared" si="2"/>
        <v>1.157341680966328E-2</v>
      </c>
      <c r="L30" s="28">
        <f>K30*Inputs!$C$4</f>
        <v>324.2061250890975</v>
      </c>
      <c r="M30" s="25">
        <f>IF(RANK(L30-INT(L30),$X$3:$X$141)+COUNTIF($X$3:X30,L30-INT(L30))-1&lt;=Inputs!$C$4-SUMPRODUCT(INT($L$3:$L$141)),1,0)</f>
        <v>0</v>
      </c>
      <c r="N30" s="25">
        <f t="shared" si="3"/>
        <v>324</v>
      </c>
      <c r="O30" s="24">
        <v>278</v>
      </c>
      <c r="P30" s="25">
        <f t="shared" si="4"/>
        <v>46</v>
      </c>
      <c r="X30" s="20">
        <f t="shared" si="5"/>
        <v>0.20612508909749749</v>
      </c>
    </row>
    <row r="31" spans="1:24" x14ac:dyDescent="0.25">
      <c r="A31" s="21" t="s">
        <v>109</v>
      </c>
      <c r="B31" s="22"/>
      <c r="C31" s="23">
        <v>92</v>
      </c>
      <c r="D31" s="24">
        <v>173</v>
      </c>
      <c r="E31" s="24">
        <v>216</v>
      </c>
      <c r="F31" s="24">
        <v>190</v>
      </c>
      <c r="G31" s="25">
        <f t="shared" si="0"/>
        <v>579</v>
      </c>
      <c r="H31" s="25">
        <f t="shared" si="1"/>
        <v>92</v>
      </c>
      <c r="I31" s="25">
        <f>MIN(MAX(H31,Inputs!$C$8),Inputs!$C$7)</f>
        <v>92</v>
      </c>
      <c r="J31" s="26">
        <f>IF(I31&gt;0,G31/I31*Inputs!$C$7,0)</f>
        <v>579</v>
      </c>
      <c r="K31" s="27">
        <f t="shared" si="2"/>
        <v>1.1454715098794938E-2</v>
      </c>
      <c r="L31" s="28">
        <f>K31*Inputs!$C$4</f>
        <v>320.88093406254262</v>
      </c>
      <c r="M31" s="25">
        <f>IF(RANK(L31-INT(L31),$X$3:$X$141)+COUNTIF($X$3:X31,L31-INT(L31))-1&lt;=Inputs!$C$4-SUMPRODUCT(INT($L$3:$L$141)),1,0)</f>
        <v>1</v>
      </c>
      <c r="N31" s="25">
        <f t="shared" si="3"/>
        <v>321</v>
      </c>
      <c r="O31" s="24">
        <v>283</v>
      </c>
      <c r="P31" s="25">
        <f t="shared" si="4"/>
        <v>38</v>
      </c>
      <c r="X31" s="20">
        <f t="shared" si="5"/>
        <v>0.88093406254262163</v>
      </c>
    </row>
    <row r="32" spans="1:24" x14ac:dyDescent="0.25">
      <c r="A32" s="21" t="s">
        <v>110</v>
      </c>
      <c r="B32" s="22"/>
      <c r="C32" s="23">
        <v>92</v>
      </c>
      <c r="D32" s="24">
        <v>259</v>
      </c>
      <c r="E32" s="24">
        <v>208</v>
      </c>
      <c r="F32" s="24">
        <v>97</v>
      </c>
      <c r="G32" s="25">
        <f t="shared" si="0"/>
        <v>564</v>
      </c>
      <c r="H32" s="25">
        <f t="shared" si="1"/>
        <v>92</v>
      </c>
      <c r="I32" s="25">
        <f>MIN(MAX(H32,Inputs!$C$8),Inputs!$C$7)</f>
        <v>92</v>
      </c>
      <c r="J32" s="26">
        <f>IF(I32&gt;0,G32/I32*Inputs!$C$7,0)</f>
        <v>564</v>
      </c>
      <c r="K32" s="27">
        <f t="shared" si="2"/>
        <v>1.1157960821624086E-2</v>
      </c>
      <c r="L32" s="28">
        <f>K32*Inputs!$C$4</f>
        <v>312.56795649615555</v>
      </c>
      <c r="M32" s="25">
        <f>IF(RANK(L32-INT(L32),$X$3:$X$141)+COUNTIF($X$3:X32,L32-INT(L32))-1&lt;=Inputs!$C$4-SUMPRODUCT(INT($L$3:$L$141)),1,0)</f>
        <v>1</v>
      </c>
      <c r="N32" s="25">
        <f t="shared" si="3"/>
        <v>313</v>
      </c>
      <c r="O32" s="24">
        <v>233</v>
      </c>
      <c r="P32" s="25">
        <f t="shared" si="4"/>
        <v>80</v>
      </c>
      <c r="X32" s="20">
        <f t="shared" si="5"/>
        <v>0.56795649615554566</v>
      </c>
    </row>
    <row r="33" spans="1:24" x14ac:dyDescent="0.25">
      <c r="A33" s="21" t="s">
        <v>111</v>
      </c>
      <c r="B33" s="22"/>
      <c r="C33" s="23">
        <v>92</v>
      </c>
      <c r="D33" s="24">
        <v>161</v>
      </c>
      <c r="E33" s="24">
        <v>168</v>
      </c>
      <c r="F33" s="24">
        <v>153</v>
      </c>
      <c r="G33" s="25">
        <f t="shared" si="0"/>
        <v>482</v>
      </c>
      <c r="H33" s="25">
        <f t="shared" si="1"/>
        <v>92</v>
      </c>
      <c r="I33" s="25">
        <f>MIN(MAX(H33,Inputs!$C$8),Inputs!$C$7)</f>
        <v>92</v>
      </c>
      <c r="J33" s="26">
        <f>IF(I33&gt;0,G33/I33*Inputs!$C$7,0)</f>
        <v>482</v>
      </c>
      <c r="K33" s="27">
        <f t="shared" si="2"/>
        <v>9.5357041064234212E-3</v>
      </c>
      <c r="L33" s="28">
        <f>K33*Inputs!$C$4</f>
        <v>267.12367913323931</v>
      </c>
      <c r="M33" s="25">
        <f>IF(RANK(L33-INT(L33),$X$3:$X$141)+COUNTIF($X$3:X33,L33-INT(L33))-1&lt;=Inputs!$C$4-SUMPRODUCT(INT($L$3:$L$141)),1,0)</f>
        <v>0</v>
      </c>
      <c r="N33" s="25">
        <f t="shared" si="3"/>
        <v>267</v>
      </c>
      <c r="O33" s="24">
        <v>222</v>
      </c>
      <c r="P33" s="25">
        <f t="shared" si="4"/>
        <v>45</v>
      </c>
      <c r="X33" s="20">
        <f t="shared" si="5"/>
        <v>0.12367913323930679</v>
      </c>
    </row>
    <row r="34" spans="1:24" x14ac:dyDescent="0.25">
      <c r="A34" s="21" t="s">
        <v>112</v>
      </c>
      <c r="B34" s="22"/>
      <c r="C34" s="23">
        <v>92</v>
      </c>
      <c r="D34" s="24">
        <v>240</v>
      </c>
      <c r="E34" s="24">
        <v>125</v>
      </c>
      <c r="F34" s="24">
        <v>111</v>
      </c>
      <c r="G34" s="25">
        <f t="shared" si="0"/>
        <v>476</v>
      </c>
      <c r="H34" s="25">
        <f t="shared" si="1"/>
        <v>92</v>
      </c>
      <c r="I34" s="25">
        <f>MIN(MAX(H34,Inputs!$C$8),Inputs!$C$7)</f>
        <v>92</v>
      </c>
      <c r="J34" s="26">
        <f>IF(I34&gt;0,G34/I34*Inputs!$C$7,0)</f>
        <v>476</v>
      </c>
      <c r="K34" s="27">
        <f t="shared" si="2"/>
        <v>9.417002395555079E-3</v>
      </c>
      <c r="L34" s="28">
        <f>K34*Inputs!$C$4</f>
        <v>263.79848810668443</v>
      </c>
      <c r="M34" s="25">
        <f>IF(RANK(L34-INT(L34),$X$3:$X$141)+COUNTIF($X$3:X34,L34-INT(L34))-1&lt;=Inputs!$C$4-SUMPRODUCT(INT($L$3:$L$141)),1,0)</f>
        <v>1</v>
      </c>
      <c r="N34" s="25">
        <f t="shared" si="3"/>
        <v>264</v>
      </c>
      <c r="O34" s="24">
        <v>148</v>
      </c>
      <c r="P34" s="25">
        <f t="shared" si="4"/>
        <v>116</v>
      </c>
      <c r="X34" s="20">
        <f t="shared" si="5"/>
        <v>0.79848810668443093</v>
      </c>
    </row>
    <row r="35" spans="1:24" x14ac:dyDescent="0.25">
      <c r="A35" s="21" t="s">
        <v>113</v>
      </c>
      <c r="B35" s="22"/>
      <c r="C35" s="23">
        <v>92</v>
      </c>
      <c r="D35" s="24">
        <v>189</v>
      </c>
      <c r="E35" s="24">
        <v>116</v>
      </c>
      <c r="F35" s="24">
        <v>167</v>
      </c>
      <c r="G35" s="25">
        <f t="shared" ref="G35:G66" si="6">SUM(D35:F35)</f>
        <v>472</v>
      </c>
      <c r="H35" s="25">
        <f t="shared" ref="H35:H66" si="7">C35</f>
        <v>92</v>
      </c>
      <c r="I35" s="25">
        <f>MIN(MAX(H35,Inputs!$C$8),Inputs!$C$7)</f>
        <v>92</v>
      </c>
      <c r="J35" s="26">
        <f>IF(I35&gt;0,G35/I35*Inputs!$C$7,0)</f>
        <v>472</v>
      </c>
      <c r="K35" s="27">
        <f t="shared" ref="K35:K66" si="8">J35/SUM($J$3:$J$141)</f>
        <v>9.337867921642852E-3</v>
      </c>
      <c r="L35" s="28">
        <f>K35*Inputs!$C$4</f>
        <v>261.58169408898124</v>
      </c>
      <c r="M35" s="25">
        <f>IF(RANK(L35-INT(L35),$X$3:$X$141)+COUNTIF($X$3:X35,L35-INT(L35))-1&lt;=Inputs!$C$4-SUMPRODUCT(INT($L$3:$L$141)),1,0)</f>
        <v>1</v>
      </c>
      <c r="N35" s="25">
        <f t="shared" ref="N35:N66" si="9">INT(L35)+M35</f>
        <v>262</v>
      </c>
      <c r="O35" s="24">
        <v>222</v>
      </c>
      <c r="P35" s="25">
        <f t="shared" ref="P35:P66" si="10">IF(O35="","",N35-O35)</f>
        <v>40</v>
      </c>
      <c r="X35" s="20">
        <f t="shared" ref="X35:X66" si="11">L35-INT(L35)</f>
        <v>0.5816940889812372</v>
      </c>
    </row>
    <row r="36" spans="1:24" x14ac:dyDescent="0.25">
      <c r="A36" s="21" t="s">
        <v>114</v>
      </c>
      <c r="B36" s="22"/>
      <c r="C36" s="23">
        <v>92</v>
      </c>
      <c r="D36" s="24">
        <v>156</v>
      </c>
      <c r="E36" s="24">
        <v>148</v>
      </c>
      <c r="F36" s="24">
        <v>164</v>
      </c>
      <c r="G36" s="25">
        <f t="shared" si="6"/>
        <v>468</v>
      </c>
      <c r="H36" s="25">
        <f t="shared" si="7"/>
        <v>92</v>
      </c>
      <c r="I36" s="25">
        <f>MIN(MAX(H36,Inputs!$C$8),Inputs!$C$7)</f>
        <v>92</v>
      </c>
      <c r="J36" s="26">
        <f>IF(I36&gt;0,G36/I36*Inputs!$C$7,0)</f>
        <v>468.00000000000006</v>
      </c>
      <c r="K36" s="27">
        <f t="shared" si="8"/>
        <v>9.258733447730625E-3</v>
      </c>
      <c r="L36" s="28">
        <f>K36*Inputs!$C$4</f>
        <v>259.36490007127799</v>
      </c>
      <c r="M36" s="25">
        <f>IF(RANK(L36-INT(L36),$X$3:$X$141)+COUNTIF($X$3:X36,L36-INT(L36))-1&lt;=Inputs!$C$4-SUMPRODUCT(INT($L$3:$L$141)),1,0)</f>
        <v>0</v>
      </c>
      <c r="N36" s="25">
        <f t="shared" si="9"/>
        <v>259</v>
      </c>
      <c r="O36" s="24">
        <v>407</v>
      </c>
      <c r="P36" s="25">
        <f t="shared" si="10"/>
        <v>-148</v>
      </c>
      <c r="X36" s="20">
        <f t="shared" si="11"/>
        <v>0.36490007127798663</v>
      </c>
    </row>
    <row r="37" spans="1:24" x14ac:dyDescent="0.25">
      <c r="A37" s="21" t="s">
        <v>115</v>
      </c>
      <c r="B37" s="22"/>
      <c r="C37" s="23">
        <v>92</v>
      </c>
      <c r="D37" s="24">
        <v>176</v>
      </c>
      <c r="E37" s="24">
        <v>137</v>
      </c>
      <c r="F37" s="24">
        <v>147</v>
      </c>
      <c r="G37" s="25">
        <f t="shared" si="6"/>
        <v>460</v>
      </c>
      <c r="H37" s="25">
        <f t="shared" si="7"/>
        <v>92</v>
      </c>
      <c r="I37" s="25">
        <f>MIN(MAX(H37,Inputs!$C$8),Inputs!$C$7)</f>
        <v>92</v>
      </c>
      <c r="J37" s="26">
        <f>IF(I37&gt;0,G37/I37*Inputs!$C$7,0)</f>
        <v>460</v>
      </c>
      <c r="K37" s="27">
        <f t="shared" si="8"/>
        <v>9.1004644999061694E-3</v>
      </c>
      <c r="L37" s="28">
        <f>K37*Inputs!$C$4</f>
        <v>254.93131203587151</v>
      </c>
      <c r="M37" s="25">
        <f>IF(RANK(L37-INT(L37),$X$3:$X$141)+COUNTIF($X$3:X37,L37-INT(L37))-1&lt;=Inputs!$C$4-SUMPRODUCT(INT($L$3:$L$141)),1,0)</f>
        <v>1</v>
      </c>
      <c r="N37" s="25">
        <f t="shared" si="9"/>
        <v>255</v>
      </c>
      <c r="O37" s="24">
        <v>300</v>
      </c>
      <c r="P37" s="25">
        <f t="shared" si="10"/>
        <v>-45</v>
      </c>
      <c r="X37" s="20">
        <f t="shared" si="11"/>
        <v>0.9313120358715139</v>
      </c>
    </row>
    <row r="38" spans="1:24" x14ac:dyDescent="0.25">
      <c r="A38" s="21" t="s">
        <v>116</v>
      </c>
      <c r="B38" s="22"/>
      <c r="C38" s="23">
        <v>92</v>
      </c>
      <c r="D38" s="24">
        <v>154</v>
      </c>
      <c r="E38" s="24">
        <v>173</v>
      </c>
      <c r="F38" s="24">
        <v>116</v>
      </c>
      <c r="G38" s="25">
        <f t="shared" si="6"/>
        <v>443</v>
      </c>
      <c r="H38" s="25">
        <f t="shared" si="7"/>
        <v>92</v>
      </c>
      <c r="I38" s="25">
        <f>MIN(MAX(H38,Inputs!$C$8),Inputs!$C$7)</f>
        <v>92</v>
      </c>
      <c r="J38" s="26">
        <f>IF(I38&gt;0,G38/I38*Inputs!$C$7,0)</f>
        <v>443</v>
      </c>
      <c r="K38" s="27">
        <f t="shared" si="8"/>
        <v>8.7641429857792021E-3</v>
      </c>
      <c r="L38" s="28">
        <f>K38*Inputs!$C$4</f>
        <v>245.50993746063278</v>
      </c>
      <c r="M38" s="25">
        <f>IF(RANK(L38-INT(L38),$X$3:$X$141)+COUNTIF($X$3:X38,L38-INT(L38))-1&lt;=Inputs!$C$4-SUMPRODUCT(INT($L$3:$L$141)),1,0)</f>
        <v>0</v>
      </c>
      <c r="N38" s="25">
        <f t="shared" si="9"/>
        <v>245</v>
      </c>
      <c r="O38" s="24">
        <v>167</v>
      </c>
      <c r="P38" s="25">
        <f t="shared" si="10"/>
        <v>78</v>
      </c>
      <c r="X38" s="20">
        <f t="shared" si="11"/>
        <v>0.50993746063278422</v>
      </c>
    </row>
    <row r="39" spans="1:24" x14ac:dyDescent="0.25">
      <c r="A39" s="21" t="s">
        <v>117</v>
      </c>
      <c r="B39" s="22"/>
      <c r="C39" s="23">
        <v>92</v>
      </c>
      <c r="D39" s="24">
        <v>141</v>
      </c>
      <c r="E39" s="24">
        <v>156</v>
      </c>
      <c r="F39" s="24">
        <v>143</v>
      </c>
      <c r="G39" s="25">
        <f t="shared" si="6"/>
        <v>440</v>
      </c>
      <c r="H39" s="25">
        <f t="shared" si="7"/>
        <v>92</v>
      </c>
      <c r="I39" s="25">
        <f>MIN(MAX(H39,Inputs!$C$8),Inputs!$C$7)</f>
        <v>92</v>
      </c>
      <c r="J39" s="26">
        <f>IF(I39&gt;0,G39/I39*Inputs!$C$7,0)</f>
        <v>440</v>
      </c>
      <c r="K39" s="27">
        <f t="shared" si="8"/>
        <v>8.704792130345031E-3</v>
      </c>
      <c r="L39" s="28">
        <f>K39*Inputs!$C$4</f>
        <v>243.84734194735535</v>
      </c>
      <c r="M39" s="25">
        <f>IF(RANK(L39-INT(L39),$X$3:$X$141)+COUNTIF($X$3:X39,L39-INT(L39))-1&lt;=Inputs!$C$4-SUMPRODUCT(INT($L$3:$L$141)),1,0)</f>
        <v>1</v>
      </c>
      <c r="N39" s="25">
        <f t="shared" si="9"/>
        <v>244</v>
      </c>
      <c r="O39" s="24">
        <v>158</v>
      </c>
      <c r="P39" s="25">
        <f t="shared" si="10"/>
        <v>86</v>
      </c>
      <c r="X39" s="20">
        <f t="shared" si="11"/>
        <v>0.84734194735534629</v>
      </c>
    </row>
    <row r="40" spans="1:24" x14ac:dyDescent="0.25">
      <c r="A40" s="21" t="s">
        <v>118</v>
      </c>
      <c r="B40" s="22"/>
      <c r="C40" s="23">
        <v>92</v>
      </c>
      <c r="D40" s="24">
        <v>147</v>
      </c>
      <c r="E40" s="24">
        <v>170</v>
      </c>
      <c r="F40" s="24">
        <v>119</v>
      </c>
      <c r="G40" s="25">
        <f t="shared" si="6"/>
        <v>436</v>
      </c>
      <c r="H40" s="25">
        <f t="shared" si="7"/>
        <v>92</v>
      </c>
      <c r="I40" s="25">
        <f>MIN(MAX(H40,Inputs!$C$8),Inputs!$C$7)</f>
        <v>92</v>
      </c>
      <c r="J40" s="26">
        <f>IF(I40&gt;0,G40/I40*Inputs!$C$7,0)</f>
        <v>436</v>
      </c>
      <c r="K40" s="27">
        <f t="shared" si="8"/>
        <v>8.6256576564328041E-3</v>
      </c>
      <c r="L40" s="28">
        <f>K40*Inputs!$C$4</f>
        <v>241.63054792965215</v>
      </c>
      <c r="M40" s="25">
        <f>IF(RANK(L40-INT(L40),$X$3:$X$141)+COUNTIF($X$3:X40,L40-INT(L40))-1&lt;=Inputs!$C$4-SUMPRODUCT(INT($L$3:$L$141)),1,0)</f>
        <v>1</v>
      </c>
      <c r="N40" s="25">
        <f t="shared" si="9"/>
        <v>242</v>
      </c>
      <c r="O40" s="24">
        <v>327</v>
      </c>
      <c r="P40" s="25">
        <f t="shared" si="10"/>
        <v>-85</v>
      </c>
      <c r="X40" s="20">
        <f t="shared" si="11"/>
        <v>0.63054792965215256</v>
      </c>
    </row>
    <row r="41" spans="1:24" x14ac:dyDescent="0.25">
      <c r="A41" s="21" t="s">
        <v>119</v>
      </c>
      <c r="B41" s="22"/>
      <c r="C41" s="23">
        <v>92</v>
      </c>
      <c r="D41" s="24">
        <v>141</v>
      </c>
      <c r="E41" s="24">
        <v>185</v>
      </c>
      <c r="F41" s="24">
        <v>107</v>
      </c>
      <c r="G41" s="25">
        <f t="shared" si="6"/>
        <v>433</v>
      </c>
      <c r="H41" s="25">
        <f t="shared" si="7"/>
        <v>92</v>
      </c>
      <c r="I41" s="25">
        <f>MIN(MAX(H41,Inputs!$C$8),Inputs!$C$7)</f>
        <v>92</v>
      </c>
      <c r="J41" s="26">
        <f>IF(I41&gt;0,G41/I41*Inputs!$C$7,0)</f>
        <v>433</v>
      </c>
      <c r="K41" s="27">
        <f t="shared" si="8"/>
        <v>8.566306800998633E-3</v>
      </c>
      <c r="L41" s="28">
        <f>K41*Inputs!$C$4</f>
        <v>239.96795241637471</v>
      </c>
      <c r="M41" s="25">
        <f>IF(RANK(L41-INT(L41),$X$3:$X$141)+COUNTIF($X$3:X41,L41-INT(L41))-1&lt;=Inputs!$C$4-SUMPRODUCT(INT($L$3:$L$141)),1,0)</f>
        <v>1</v>
      </c>
      <c r="N41" s="25">
        <f t="shared" si="9"/>
        <v>240</v>
      </c>
      <c r="O41" s="24">
        <v>333</v>
      </c>
      <c r="P41" s="25">
        <f t="shared" si="10"/>
        <v>-93</v>
      </c>
      <c r="X41" s="20">
        <f t="shared" si="11"/>
        <v>0.96795241637471463</v>
      </c>
    </row>
    <row r="42" spans="1:24" x14ac:dyDescent="0.25">
      <c r="A42" s="21" t="s">
        <v>120</v>
      </c>
      <c r="B42" s="22"/>
      <c r="C42" s="23">
        <v>92</v>
      </c>
      <c r="D42" s="24">
        <v>154</v>
      </c>
      <c r="E42" s="24">
        <v>104</v>
      </c>
      <c r="F42" s="24">
        <v>161</v>
      </c>
      <c r="G42" s="25">
        <f t="shared" si="6"/>
        <v>419</v>
      </c>
      <c r="H42" s="25">
        <f t="shared" si="7"/>
        <v>92</v>
      </c>
      <c r="I42" s="25">
        <f>MIN(MAX(H42,Inputs!$C$8),Inputs!$C$7)</f>
        <v>92</v>
      </c>
      <c r="J42" s="26">
        <f>IF(I42&gt;0,G42/I42*Inputs!$C$7,0)</f>
        <v>418.99999999999994</v>
      </c>
      <c r="K42" s="27">
        <f t="shared" si="8"/>
        <v>8.2893361423058351E-3</v>
      </c>
      <c r="L42" s="28">
        <f>K42*Inputs!$C$4</f>
        <v>232.20917335441337</v>
      </c>
      <c r="M42" s="25">
        <f>IF(RANK(L42-INT(L42),$X$3:$X$141)+COUNTIF($X$3:X42,L42-INT(L42))-1&lt;=Inputs!$C$4-SUMPRODUCT(INT($L$3:$L$141)),1,0)</f>
        <v>0</v>
      </c>
      <c r="N42" s="25">
        <f t="shared" si="9"/>
        <v>232</v>
      </c>
      <c r="O42" s="24">
        <v>194</v>
      </c>
      <c r="P42" s="25">
        <f t="shared" si="10"/>
        <v>38</v>
      </c>
      <c r="X42" s="20">
        <f t="shared" si="11"/>
        <v>0.20917335441336604</v>
      </c>
    </row>
    <row r="43" spans="1:24" x14ac:dyDescent="0.25">
      <c r="A43" s="21" t="s">
        <v>121</v>
      </c>
      <c r="B43" s="22"/>
      <c r="C43" s="23">
        <v>92</v>
      </c>
      <c r="D43" s="24">
        <v>122</v>
      </c>
      <c r="E43" s="24">
        <v>110</v>
      </c>
      <c r="F43" s="24">
        <v>175</v>
      </c>
      <c r="G43" s="25">
        <f t="shared" si="6"/>
        <v>407</v>
      </c>
      <c r="H43" s="25">
        <f t="shared" si="7"/>
        <v>92</v>
      </c>
      <c r="I43" s="25">
        <f>MIN(MAX(H43,Inputs!$C$8),Inputs!$C$7)</f>
        <v>92</v>
      </c>
      <c r="J43" s="26">
        <f>IF(I43&gt;0,G43/I43*Inputs!$C$7,0)</f>
        <v>407</v>
      </c>
      <c r="K43" s="27">
        <f t="shared" si="8"/>
        <v>8.0519327205691542E-3</v>
      </c>
      <c r="L43" s="28">
        <f>K43*Inputs!$C$4</f>
        <v>225.55879130130373</v>
      </c>
      <c r="M43" s="25">
        <f>IF(RANK(L43-INT(L43),$X$3:$X$141)+COUNTIF($X$3:X43,L43-INT(L43))-1&lt;=Inputs!$C$4-SUMPRODUCT(INT($L$3:$L$141)),1,0)</f>
        <v>1</v>
      </c>
      <c r="N43" s="25">
        <f t="shared" si="9"/>
        <v>226</v>
      </c>
      <c r="O43" s="24">
        <v>309</v>
      </c>
      <c r="P43" s="25">
        <f t="shared" si="10"/>
        <v>-83</v>
      </c>
      <c r="X43" s="20">
        <f t="shared" si="11"/>
        <v>0.55879130130372801</v>
      </c>
    </row>
    <row r="44" spans="1:24" x14ac:dyDescent="0.25">
      <c r="A44" s="21" t="s">
        <v>122</v>
      </c>
      <c r="B44" s="22"/>
      <c r="C44" s="23">
        <v>92</v>
      </c>
      <c r="D44" s="24">
        <v>151</v>
      </c>
      <c r="E44" s="24">
        <v>140</v>
      </c>
      <c r="F44" s="24">
        <v>102</v>
      </c>
      <c r="G44" s="25">
        <f t="shared" si="6"/>
        <v>393</v>
      </c>
      <c r="H44" s="25">
        <f t="shared" si="7"/>
        <v>92</v>
      </c>
      <c r="I44" s="25">
        <f>MIN(MAX(H44,Inputs!$C$8),Inputs!$C$7)</f>
        <v>92</v>
      </c>
      <c r="J44" s="26">
        <f>IF(I44&gt;0,G44/I44*Inputs!$C$7,0)</f>
        <v>392.99999999999994</v>
      </c>
      <c r="K44" s="27">
        <f t="shared" si="8"/>
        <v>7.7749620618763563E-3</v>
      </c>
      <c r="L44" s="28">
        <f>K44*Inputs!$C$4</f>
        <v>217.80001223934238</v>
      </c>
      <c r="M44" s="25">
        <f>IF(RANK(L44-INT(L44),$X$3:$X$141)+COUNTIF($X$3:X44,L44-INT(L44))-1&lt;=Inputs!$C$4-SUMPRODUCT(INT($L$3:$L$141)),1,0)</f>
        <v>1</v>
      </c>
      <c r="N44" s="25">
        <f t="shared" si="9"/>
        <v>218</v>
      </c>
      <c r="O44" s="24">
        <v>144</v>
      </c>
      <c r="P44" s="25">
        <f t="shared" si="10"/>
        <v>74</v>
      </c>
      <c r="X44" s="20">
        <f t="shared" si="11"/>
        <v>0.80001223934237942</v>
      </c>
    </row>
    <row r="45" spans="1:24" x14ac:dyDescent="0.25">
      <c r="A45" s="21" t="s">
        <v>123</v>
      </c>
      <c r="B45" s="22"/>
      <c r="C45" s="23">
        <v>92</v>
      </c>
      <c r="D45" s="24">
        <v>105</v>
      </c>
      <c r="E45" s="24">
        <v>158</v>
      </c>
      <c r="F45" s="24">
        <v>94</v>
      </c>
      <c r="G45" s="25">
        <f t="shared" si="6"/>
        <v>357</v>
      </c>
      <c r="H45" s="25">
        <f t="shared" si="7"/>
        <v>92</v>
      </c>
      <c r="I45" s="25">
        <f>MIN(MAX(H45,Inputs!$C$8),Inputs!$C$7)</f>
        <v>92</v>
      </c>
      <c r="J45" s="26">
        <f>IF(I45&gt;0,G45/I45*Inputs!$C$7,0)</f>
        <v>357</v>
      </c>
      <c r="K45" s="27">
        <f t="shared" si="8"/>
        <v>7.0627517966663092E-3</v>
      </c>
      <c r="L45" s="28">
        <f>K45*Inputs!$C$4</f>
        <v>197.84886608001332</v>
      </c>
      <c r="M45" s="25">
        <f>IF(RANK(L45-INT(L45),$X$3:$X$141)+COUNTIF($X$3:X45,L45-INT(L45))-1&lt;=Inputs!$C$4-SUMPRODUCT(INT($L$3:$L$141)),1,0)</f>
        <v>1</v>
      </c>
      <c r="N45" s="25">
        <f t="shared" si="9"/>
        <v>198</v>
      </c>
      <c r="O45" s="24">
        <v>153</v>
      </c>
      <c r="P45" s="25">
        <f t="shared" si="10"/>
        <v>45</v>
      </c>
      <c r="X45" s="20">
        <f t="shared" si="11"/>
        <v>0.8488660800133232</v>
      </c>
    </row>
    <row r="46" spans="1:24" x14ac:dyDescent="0.25">
      <c r="A46" s="21" t="s">
        <v>124</v>
      </c>
      <c r="B46" s="22"/>
      <c r="C46" s="23">
        <v>92</v>
      </c>
      <c r="D46" s="24">
        <v>104</v>
      </c>
      <c r="E46" s="24">
        <v>169</v>
      </c>
      <c r="F46" s="24">
        <v>81</v>
      </c>
      <c r="G46" s="25">
        <f t="shared" si="6"/>
        <v>354</v>
      </c>
      <c r="H46" s="25">
        <f t="shared" si="7"/>
        <v>92</v>
      </c>
      <c r="I46" s="25">
        <f>MIN(MAX(H46,Inputs!$C$8),Inputs!$C$7)</f>
        <v>92</v>
      </c>
      <c r="J46" s="26">
        <f>IF(I46&gt;0,G46/I46*Inputs!$C$7,0)</f>
        <v>354</v>
      </c>
      <c r="K46" s="27">
        <f t="shared" si="8"/>
        <v>7.003400941232139E-3</v>
      </c>
      <c r="L46" s="28">
        <f>K46*Inputs!$C$4</f>
        <v>196.18627056673591</v>
      </c>
      <c r="M46" s="25">
        <f>IF(RANK(L46-INT(L46),$X$3:$X$141)+COUNTIF($X$3:X46,L46-INT(L46))-1&lt;=Inputs!$C$4-SUMPRODUCT(INT($L$3:$L$141)),1,0)</f>
        <v>0</v>
      </c>
      <c r="N46" s="25">
        <f t="shared" si="9"/>
        <v>196</v>
      </c>
      <c r="O46" s="24">
        <v>309</v>
      </c>
      <c r="P46" s="25">
        <f t="shared" si="10"/>
        <v>-113</v>
      </c>
      <c r="X46" s="20">
        <f t="shared" si="11"/>
        <v>0.18627056673591369</v>
      </c>
    </row>
    <row r="47" spans="1:24" x14ac:dyDescent="0.25">
      <c r="A47" s="21" t="s">
        <v>125</v>
      </c>
      <c r="B47" s="22"/>
      <c r="C47" s="23">
        <v>92</v>
      </c>
      <c r="D47" s="24">
        <v>100</v>
      </c>
      <c r="E47" s="24">
        <v>119</v>
      </c>
      <c r="F47" s="24">
        <v>117</v>
      </c>
      <c r="G47" s="25">
        <f t="shared" si="6"/>
        <v>336</v>
      </c>
      <c r="H47" s="25">
        <f t="shared" si="7"/>
        <v>92</v>
      </c>
      <c r="I47" s="25">
        <f>MIN(MAX(H47,Inputs!$C$8),Inputs!$C$7)</f>
        <v>92</v>
      </c>
      <c r="J47" s="26">
        <f>IF(I47&gt;0,G47/I47*Inputs!$C$7,0)</f>
        <v>336</v>
      </c>
      <c r="K47" s="27">
        <f t="shared" si="8"/>
        <v>6.647295808627115E-3</v>
      </c>
      <c r="L47" s="28">
        <f>K47*Inputs!$C$4</f>
        <v>186.21069748707137</v>
      </c>
      <c r="M47" s="25">
        <f>IF(RANK(L47-INT(L47),$X$3:$X$141)+COUNTIF($X$3:X47,L47-INT(L47))-1&lt;=Inputs!$C$4-SUMPRODUCT(INT($L$3:$L$141)),1,0)</f>
        <v>0</v>
      </c>
      <c r="N47" s="25">
        <f t="shared" si="9"/>
        <v>186</v>
      </c>
      <c r="O47" s="24">
        <v>222</v>
      </c>
      <c r="P47" s="25">
        <f t="shared" si="10"/>
        <v>-36</v>
      </c>
      <c r="X47" s="20">
        <f t="shared" si="11"/>
        <v>0.21069748707137137</v>
      </c>
    </row>
    <row r="48" spans="1:24" x14ac:dyDescent="0.25">
      <c r="A48" s="21" t="s">
        <v>126</v>
      </c>
      <c r="B48" s="22"/>
      <c r="C48" s="23">
        <v>92</v>
      </c>
      <c r="D48" s="24">
        <v>113</v>
      </c>
      <c r="E48" s="24">
        <v>97</v>
      </c>
      <c r="F48" s="24">
        <v>96</v>
      </c>
      <c r="G48" s="25">
        <f t="shared" si="6"/>
        <v>306</v>
      </c>
      <c r="H48" s="25">
        <f t="shared" si="7"/>
        <v>92</v>
      </c>
      <c r="I48" s="25">
        <f>MIN(MAX(H48,Inputs!$C$8),Inputs!$C$7)</f>
        <v>92</v>
      </c>
      <c r="J48" s="26">
        <f>IF(I48&gt;0,G48/I48*Inputs!$C$7,0)</f>
        <v>306</v>
      </c>
      <c r="K48" s="27">
        <f t="shared" si="8"/>
        <v>6.0537872542854084E-3</v>
      </c>
      <c r="L48" s="28">
        <f>K48*Inputs!$C$4</f>
        <v>169.58474235429713</v>
      </c>
      <c r="M48" s="25">
        <f>IF(RANK(L48-INT(L48),$X$3:$X$141)+COUNTIF($X$3:X48,L48-INT(L48))-1&lt;=Inputs!$C$4-SUMPRODUCT(INT($L$3:$L$141)),1,0)</f>
        <v>1</v>
      </c>
      <c r="N48" s="25">
        <f t="shared" si="9"/>
        <v>170</v>
      </c>
      <c r="O48" s="24">
        <v>222</v>
      </c>
      <c r="P48" s="25">
        <f t="shared" si="10"/>
        <v>-52</v>
      </c>
      <c r="X48" s="20">
        <f t="shared" si="11"/>
        <v>0.58474235429713417</v>
      </c>
    </row>
    <row r="49" spans="1:24" x14ac:dyDescent="0.25">
      <c r="A49" s="21" t="s">
        <v>127</v>
      </c>
      <c r="B49" s="22"/>
      <c r="C49" s="23">
        <v>92</v>
      </c>
      <c r="D49" s="24">
        <v>94</v>
      </c>
      <c r="E49" s="24">
        <v>108</v>
      </c>
      <c r="F49" s="24">
        <v>99</v>
      </c>
      <c r="G49" s="25">
        <f t="shared" si="6"/>
        <v>301</v>
      </c>
      <c r="H49" s="25">
        <f t="shared" si="7"/>
        <v>92</v>
      </c>
      <c r="I49" s="25">
        <f>MIN(MAX(H49,Inputs!$C$8),Inputs!$C$7)</f>
        <v>92</v>
      </c>
      <c r="J49" s="26">
        <f>IF(I49&gt;0,G49/I49*Inputs!$C$7,0)</f>
        <v>301</v>
      </c>
      <c r="K49" s="27">
        <f t="shared" si="8"/>
        <v>5.9548691618951238E-3</v>
      </c>
      <c r="L49" s="28">
        <f>K49*Inputs!$C$4</f>
        <v>166.8137498321681</v>
      </c>
      <c r="M49" s="25">
        <f>IF(RANK(L49-INT(L49),$X$3:$X$141)+COUNTIF($X$3:X49,L49-INT(L49))-1&lt;=Inputs!$C$4-SUMPRODUCT(INT($L$3:$L$141)),1,0)</f>
        <v>1</v>
      </c>
      <c r="N49" s="25">
        <f t="shared" si="9"/>
        <v>167</v>
      </c>
      <c r="O49" s="24">
        <v>111</v>
      </c>
      <c r="P49" s="25">
        <f t="shared" si="10"/>
        <v>56</v>
      </c>
      <c r="X49" s="20">
        <f t="shared" si="11"/>
        <v>0.81374983216809937</v>
      </c>
    </row>
    <row r="50" spans="1:24" x14ac:dyDescent="0.25">
      <c r="A50" s="21" t="s">
        <v>128</v>
      </c>
      <c r="B50" s="22"/>
      <c r="C50" s="23">
        <v>92</v>
      </c>
      <c r="D50" s="24">
        <v>85</v>
      </c>
      <c r="E50" s="24">
        <v>89</v>
      </c>
      <c r="F50" s="24">
        <v>121</v>
      </c>
      <c r="G50" s="25">
        <f t="shared" si="6"/>
        <v>295</v>
      </c>
      <c r="H50" s="25">
        <f t="shared" si="7"/>
        <v>92</v>
      </c>
      <c r="I50" s="25">
        <f>MIN(MAX(H50,Inputs!$C$8),Inputs!$C$7)</f>
        <v>92</v>
      </c>
      <c r="J50" s="26">
        <f>IF(I50&gt;0,G50/I50*Inputs!$C$7,0)</f>
        <v>295</v>
      </c>
      <c r="K50" s="27">
        <f t="shared" si="8"/>
        <v>5.8361674510267825E-3</v>
      </c>
      <c r="L50" s="28">
        <f>K50*Inputs!$C$4</f>
        <v>163.48855880561325</v>
      </c>
      <c r="M50" s="25">
        <f>IF(RANK(L50-INT(L50),$X$3:$X$141)+COUNTIF($X$3:X50,L50-INT(L50))-1&lt;=Inputs!$C$4-SUMPRODUCT(INT($L$3:$L$141)),1,0)</f>
        <v>0</v>
      </c>
      <c r="N50" s="25">
        <f t="shared" si="9"/>
        <v>163</v>
      </c>
      <c r="O50" s="24">
        <v>332</v>
      </c>
      <c r="P50" s="25">
        <f t="shared" si="10"/>
        <v>-169</v>
      </c>
      <c r="X50" s="20">
        <f t="shared" si="11"/>
        <v>0.48855880561325193</v>
      </c>
    </row>
    <row r="51" spans="1:24" x14ac:dyDescent="0.25">
      <c r="A51" s="21" t="s">
        <v>129</v>
      </c>
      <c r="B51" s="22"/>
      <c r="C51" s="23">
        <v>92</v>
      </c>
      <c r="D51" s="24">
        <v>125</v>
      </c>
      <c r="E51" s="24">
        <v>85</v>
      </c>
      <c r="F51" s="24">
        <v>75</v>
      </c>
      <c r="G51" s="25">
        <f t="shared" si="6"/>
        <v>285</v>
      </c>
      <c r="H51" s="25">
        <f t="shared" si="7"/>
        <v>92</v>
      </c>
      <c r="I51" s="25">
        <f>MIN(MAX(H51,Inputs!$C$8),Inputs!$C$7)</f>
        <v>92</v>
      </c>
      <c r="J51" s="26">
        <f>IF(I51&gt;0,G51/I51*Inputs!$C$7,0)</f>
        <v>285</v>
      </c>
      <c r="K51" s="27">
        <f t="shared" si="8"/>
        <v>5.6383312662462133E-3</v>
      </c>
      <c r="L51" s="28">
        <f>K51*Inputs!$C$4</f>
        <v>157.94657376135518</v>
      </c>
      <c r="M51" s="25">
        <f>IF(RANK(L51-INT(L51),$X$3:$X$141)+COUNTIF($X$3:X51,L51-INT(L51))-1&lt;=Inputs!$C$4-SUMPRODUCT(INT($L$3:$L$141)),1,0)</f>
        <v>1</v>
      </c>
      <c r="N51" s="25">
        <f t="shared" si="9"/>
        <v>158</v>
      </c>
      <c r="O51" s="24">
        <v>111</v>
      </c>
      <c r="P51" s="25">
        <f t="shared" si="10"/>
        <v>47</v>
      </c>
      <c r="X51" s="20">
        <f t="shared" si="11"/>
        <v>0.94657376135518234</v>
      </c>
    </row>
    <row r="52" spans="1:24" x14ac:dyDescent="0.25">
      <c r="A52" s="21" t="s">
        <v>130</v>
      </c>
      <c r="B52" s="22"/>
      <c r="C52" s="23">
        <v>92</v>
      </c>
      <c r="D52" s="24">
        <v>47</v>
      </c>
      <c r="E52" s="24">
        <v>75</v>
      </c>
      <c r="F52" s="24">
        <v>156</v>
      </c>
      <c r="G52" s="25">
        <f t="shared" si="6"/>
        <v>278</v>
      </c>
      <c r="H52" s="25">
        <f t="shared" si="7"/>
        <v>92</v>
      </c>
      <c r="I52" s="25">
        <f>MIN(MAX(H52,Inputs!$C$8),Inputs!$C$7)</f>
        <v>92</v>
      </c>
      <c r="J52" s="26">
        <f>IF(I52&gt;0,G52/I52*Inputs!$C$7,0)</f>
        <v>278</v>
      </c>
      <c r="K52" s="27">
        <f t="shared" si="8"/>
        <v>5.4998459368998153E-3</v>
      </c>
      <c r="L52" s="28">
        <f>K52*Inputs!$C$4</f>
        <v>154.06718423037452</v>
      </c>
      <c r="M52" s="25">
        <f>IF(RANK(L52-INT(L52),$X$3:$X$141)+COUNTIF($X$3:X52,L52-INT(L52))-1&lt;=Inputs!$C$4-SUMPRODUCT(INT($L$3:$L$141)),1,0)</f>
        <v>0</v>
      </c>
      <c r="N52" s="25">
        <f t="shared" si="9"/>
        <v>154</v>
      </c>
      <c r="O52" s="24">
        <v>123</v>
      </c>
      <c r="P52" s="25">
        <f t="shared" si="10"/>
        <v>31</v>
      </c>
      <c r="X52" s="20">
        <f t="shared" si="11"/>
        <v>6.7184230374522258E-2</v>
      </c>
    </row>
    <row r="53" spans="1:24" x14ac:dyDescent="0.25">
      <c r="A53" s="21" t="s">
        <v>131</v>
      </c>
      <c r="B53" s="22"/>
      <c r="C53" s="23">
        <v>92</v>
      </c>
      <c r="D53" s="24">
        <v>95</v>
      </c>
      <c r="E53" s="24">
        <v>108</v>
      </c>
      <c r="F53" s="24">
        <v>70</v>
      </c>
      <c r="G53" s="25">
        <f t="shared" si="6"/>
        <v>273</v>
      </c>
      <c r="H53" s="25">
        <f t="shared" si="7"/>
        <v>92</v>
      </c>
      <c r="I53" s="25">
        <f>MIN(MAX(H53,Inputs!$C$8),Inputs!$C$7)</f>
        <v>92</v>
      </c>
      <c r="J53" s="26">
        <f>IF(I53&gt;0,G53/I53*Inputs!$C$7,0)</f>
        <v>273</v>
      </c>
      <c r="K53" s="27">
        <f t="shared" si="8"/>
        <v>5.4009278445095307E-3</v>
      </c>
      <c r="L53" s="28">
        <f>K53*Inputs!$C$4</f>
        <v>151.29619170824549</v>
      </c>
      <c r="M53" s="25">
        <f>IF(RANK(L53-INT(L53),$X$3:$X$141)+COUNTIF($X$3:X53,L53-INT(L53))-1&lt;=Inputs!$C$4-SUMPRODUCT(INT($L$3:$L$141)),1,0)</f>
        <v>0</v>
      </c>
      <c r="N53" s="25">
        <f t="shared" si="9"/>
        <v>151</v>
      </c>
      <c r="O53" s="24">
        <v>222</v>
      </c>
      <c r="P53" s="25">
        <f t="shared" si="10"/>
        <v>-71</v>
      </c>
      <c r="X53" s="20">
        <f t="shared" si="11"/>
        <v>0.29619170824548746</v>
      </c>
    </row>
    <row r="54" spans="1:24" x14ac:dyDescent="0.25">
      <c r="A54" s="21" t="s">
        <v>132</v>
      </c>
      <c r="B54" s="22"/>
      <c r="C54" s="23">
        <v>92</v>
      </c>
      <c r="D54" s="24">
        <v>81</v>
      </c>
      <c r="E54" s="24">
        <v>101</v>
      </c>
      <c r="F54" s="24">
        <v>82</v>
      </c>
      <c r="G54" s="25">
        <f t="shared" si="6"/>
        <v>264</v>
      </c>
      <c r="H54" s="25">
        <f t="shared" si="7"/>
        <v>92</v>
      </c>
      <c r="I54" s="25">
        <f>MIN(MAX(H54,Inputs!$C$8),Inputs!$C$7)</f>
        <v>92</v>
      </c>
      <c r="J54" s="26">
        <f>IF(I54&gt;0,G54/I54*Inputs!$C$7,0)</f>
        <v>264</v>
      </c>
      <c r="K54" s="27">
        <f t="shared" si="8"/>
        <v>5.2228752782070191E-3</v>
      </c>
      <c r="L54" s="28">
        <f>K54*Inputs!$C$4</f>
        <v>146.30840516841323</v>
      </c>
      <c r="M54" s="25">
        <f>IF(RANK(L54-INT(L54),$X$3:$X$141)+COUNTIF($X$3:X54,L54-INT(L54))-1&lt;=Inputs!$C$4-SUMPRODUCT(INT($L$3:$L$141)),1,0)</f>
        <v>0</v>
      </c>
      <c r="N54" s="25">
        <f t="shared" si="9"/>
        <v>146</v>
      </c>
      <c r="O54" s="24">
        <v>111</v>
      </c>
      <c r="P54" s="25">
        <f t="shared" si="10"/>
        <v>35</v>
      </c>
      <c r="X54" s="20">
        <f t="shared" si="11"/>
        <v>0.30840516841323051</v>
      </c>
    </row>
    <row r="55" spans="1:24" x14ac:dyDescent="0.25">
      <c r="A55" s="21" t="s">
        <v>133</v>
      </c>
      <c r="B55" s="22"/>
      <c r="C55" s="23">
        <v>92</v>
      </c>
      <c r="D55" s="24">
        <v>82</v>
      </c>
      <c r="E55" s="24">
        <v>73</v>
      </c>
      <c r="F55" s="24">
        <v>84</v>
      </c>
      <c r="G55" s="25">
        <f t="shared" si="6"/>
        <v>239</v>
      </c>
      <c r="H55" s="25">
        <f t="shared" si="7"/>
        <v>92</v>
      </c>
      <c r="I55" s="25">
        <f>MIN(MAX(H55,Inputs!$C$8),Inputs!$C$7)</f>
        <v>92</v>
      </c>
      <c r="J55" s="26">
        <f>IF(I55&gt;0,G55/I55*Inputs!$C$7,0)</f>
        <v>239.00000000000003</v>
      </c>
      <c r="K55" s="27">
        <f t="shared" si="8"/>
        <v>4.7282848162555971E-3</v>
      </c>
      <c r="L55" s="28">
        <f>K55*Inputs!$C$4</f>
        <v>132.45344255776803</v>
      </c>
      <c r="M55" s="25">
        <f>IF(RANK(L55-INT(L55),$X$3:$X$141)+COUNTIF($X$3:X55,L55-INT(L55))-1&lt;=Inputs!$C$4-SUMPRODUCT(INT($L$3:$L$141)),1,0)</f>
        <v>0</v>
      </c>
      <c r="N55" s="25">
        <f t="shared" si="9"/>
        <v>132</v>
      </c>
      <c r="O55" s="24">
        <v>135</v>
      </c>
      <c r="P55" s="25">
        <f t="shared" si="10"/>
        <v>-3</v>
      </c>
      <c r="X55" s="20">
        <f t="shared" si="11"/>
        <v>0.45344255776802811</v>
      </c>
    </row>
    <row r="56" spans="1:24" x14ac:dyDescent="0.25">
      <c r="A56" s="21" t="s">
        <v>134</v>
      </c>
      <c r="B56" s="22"/>
      <c r="C56" s="23">
        <v>92</v>
      </c>
      <c r="D56" s="24">
        <v>76</v>
      </c>
      <c r="E56" s="24">
        <v>81</v>
      </c>
      <c r="F56" s="24">
        <v>65</v>
      </c>
      <c r="G56" s="25">
        <f t="shared" si="6"/>
        <v>222</v>
      </c>
      <c r="H56" s="25">
        <f t="shared" si="7"/>
        <v>92</v>
      </c>
      <c r="I56" s="25">
        <f>MIN(MAX(H56,Inputs!$C$8),Inputs!$C$7)</f>
        <v>92</v>
      </c>
      <c r="J56" s="26">
        <f>IF(I56&gt;0,G56/I56*Inputs!$C$7,0)</f>
        <v>222</v>
      </c>
      <c r="K56" s="27">
        <f t="shared" si="8"/>
        <v>4.3919633021286299E-3</v>
      </c>
      <c r="L56" s="28">
        <f>K56*Inputs!$C$4</f>
        <v>123.03206798252931</v>
      </c>
      <c r="M56" s="25">
        <f>IF(RANK(L56-INT(L56),$X$3:$X$141)+COUNTIF($X$3:X56,L56-INT(L56))-1&lt;=Inputs!$C$4-SUMPRODUCT(INT($L$3:$L$141)),1,0)</f>
        <v>0</v>
      </c>
      <c r="N56" s="25">
        <f t="shared" si="9"/>
        <v>123</v>
      </c>
      <c r="O56" s="24">
        <v>174</v>
      </c>
      <c r="P56" s="25">
        <f t="shared" si="10"/>
        <v>-51</v>
      </c>
      <c r="X56" s="20">
        <f t="shared" si="11"/>
        <v>3.2067982529312644E-2</v>
      </c>
    </row>
    <row r="57" spans="1:24" x14ac:dyDescent="0.25">
      <c r="A57" s="21" t="s">
        <v>135</v>
      </c>
      <c r="B57" s="22"/>
      <c r="C57" s="23">
        <v>92</v>
      </c>
      <c r="D57" s="24">
        <v>91</v>
      </c>
      <c r="E57" s="24">
        <v>55</v>
      </c>
      <c r="F57" s="24">
        <v>43</v>
      </c>
      <c r="G57" s="25">
        <f t="shared" si="6"/>
        <v>189</v>
      </c>
      <c r="H57" s="25">
        <f t="shared" si="7"/>
        <v>92</v>
      </c>
      <c r="I57" s="25">
        <f>MIN(MAX(H57,Inputs!$C$8),Inputs!$C$7)</f>
        <v>92</v>
      </c>
      <c r="J57" s="26">
        <f>IF(I57&gt;0,G57/I57*Inputs!$C$7,0)</f>
        <v>189</v>
      </c>
      <c r="K57" s="27">
        <f t="shared" si="8"/>
        <v>3.7391038923527522E-3</v>
      </c>
      <c r="L57" s="28">
        <f>K57*Inputs!$C$4</f>
        <v>104.74351733647765</v>
      </c>
      <c r="M57" s="25">
        <f>IF(RANK(L57-INT(L57),$X$3:$X$141)+COUNTIF($X$3:X57,L57-INT(L57))-1&lt;=Inputs!$C$4-SUMPRODUCT(INT($L$3:$L$141)),1,0)</f>
        <v>1</v>
      </c>
      <c r="N57" s="25">
        <f t="shared" si="9"/>
        <v>105</v>
      </c>
      <c r="O57" s="24">
        <v>67</v>
      </c>
      <c r="P57" s="25">
        <f t="shared" si="10"/>
        <v>38</v>
      </c>
      <c r="X57" s="20">
        <f t="shared" si="11"/>
        <v>0.74351733647765172</v>
      </c>
    </row>
    <row r="58" spans="1:24" x14ac:dyDescent="0.25">
      <c r="A58" s="21" t="s">
        <v>136</v>
      </c>
      <c r="B58" s="22"/>
      <c r="C58" s="23">
        <v>92</v>
      </c>
      <c r="D58" s="24">
        <v>67</v>
      </c>
      <c r="E58" s="24">
        <v>59</v>
      </c>
      <c r="F58" s="24">
        <v>56</v>
      </c>
      <c r="G58" s="25">
        <f t="shared" si="6"/>
        <v>182</v>
      </c>
      <c r="H58" s="25">
        <f t="shared" si="7"/>
        <v>92</v>
      </c>
      <c r="I58" s="25">
        <f>MIN(MAX(H58,Inputs!$C$8),Inputs!$C$7)</f>
        <v>92</v>
      </c>
      <c r="J58" s="26">
        <f>IF(I58&gt;0,G58/I58*Inputs!$C$7,0)</f>
        <v>182</v>
      </c>
      <c r="K58" s="27">
        <f t="shared" si="8"/>
        <v>3.6006185630063541E-3</v>
      </c>
      <c r="L58" s="28">
        <f>K58*Inputs!$C$4</f>
        <v>100.86412780549699</v>
      </c>
      <c r="M58" s="25">
        <f>IF(RANK(L58-INT(L58),$X$3:$X$141)+COUNTIF($X$3:X58,L58-INT(L58))-1&lt;=Inputs!$C$4-SUMPRODUCT(INT($L$3:$L$141)),1,0)</f>
        <v>1</v>
      </c>
      <c r="N58" s="25">
        <f t="shared" si="9"/>
        <v>101</v>
      </c>
      <c r="O58" s="24">
        <v>167</v>
      </c>
      <c r="P58" s="25">
        <f t="shared" si="10"/>
        <v>-66</v>
      </c>
      <c r="X58" s="20">
        <f t="shared" si="11"/>
        <v>0.86412780549699164</v>
      </c>
    </row>
    <row r="59" spans="1:24" x14ac:dyDescent="0.25">
      <c r="A59" s="21" t="s">
        <v>137</v>
      </c>
      <c r="B59" s="22"/>
      <c r="C59" s="23">
        <v>92</v>
      </c>
      <c r="D59" s="24">
        <v>48</v>
      </c>
      <c r="E59" s="24">
        <v>60</v>
      </c>
      <c r="F59" s="24">
        <v>69</v>
      </c>
      <c r="G59" s="25">
        <f t="shared" si="6"/>
        <v>177</v>
      </c>
      <c r="H59" s="25">
        <f t="shared" si="7"/>
        <v>92</v>
      </c>
      <c r="I59" s="25">
        <f>MIN(MAX(H59,Inputs!$C$8),Inputs!$C$7)</f>
        <v>92</v>
      </c>
      <c r="J59" s="26">
        <f>IF(I59&gt;0,G59/I59*Inputs!$C$7,0)</f>
        <v>177</v>
      </c>
      <c r="K59" s="27">
        <f t="shared" si="8"/>
        <v>3.5017004706160695E-3</v>
      </c>
      <c r="L59" s="28">
        <f>K59*Inputs!$C$4</f>
        <v>98.093135283367957</v>
      </c>
      <c r="M59" s="25">
        <f>IF(RANK(L59-INT(L59),$X$3:$X$141)+COUNTIF($X$3:X59,L59-INT(L59))-1&lt;=Inputs!$C$4-SUMPRODUCT(INT($L$3:$L$141)),1,0)</f>
        <v>0</v>
      </c>
      <c r="N59" s="25">
        <f t="shared" si="9"/>
        <v>98</v>
      </c>
      <c r="O59" s="24">
        <v>111</v>
      </c>
      <c r="P59" s="25">
        <f t="shared" si="10"/>
        <v>-13</v>
      </c>
      <c r="X59" s="20">
        <f t="shared" si="11"/>
        <v>9.3135283367956845E-2</v>
      </c>
    </row>
    <row r="60" spans="1:24" x14ac:dyDescent="0.25">
      <c r="A60" s="21" t="s">
        <v>138</v>
      </c>
      <c r="B60" s="22"/>
      <c r="C60" s="23">
        <v>92</v>
      </c>
      <c r="D60" s="24">
        <v>41</v>
      </c>
      <c r="E60" s="24">
        <v>62</v>
      </c>
      <c r="F60" s="24">
        <v>66</v>
      </c>
      <c r="G60" s="25">
        <f t="shared" si="6"/>
        <v>169</v>
      </c>
      <c r="H60" s="25">
        <f t="shared" si="7"/>
        <v>92</v>
      </c>
      <c r="I60" s="25">
        <f>MIN(MAX(H60,Inputs!$C$8),Inputs!$C$7)</f>
        <v>92</v>
      </c>
      <c r="J60" s="26">
        <f>IF(I60&gt;0,G60/I60*Inputs!$C$7,0)</f>
        <v>169</v>
      </c>
      <c r="K60" s="27">
        <f t="shared" si="8"/>
        <v>3.3434315227916143E-3</v>
      </c>
      <c r="L60" s="28">
        <f>K60*Inputs!$C$4</f>
        <v>93.659547247961484</v>
      </c>
      <c r="M60" s="25">
        <f>IF(RANK(L60-INT(L60),$X$3:$X$141)+COUNTIF($X$3:X60,L60-INT(L60))-1&lt;=Inputs!$C$4-SUMPRODUCT(INT($L$3:$L$141)),1,0)</f>
        <v>1</v>
      </c>
      <c r="N60" s="25">
        <f t="shared" si="9"/>
        <v>94</v>
      </c>
      <c r="O60" s="24">
        <v>78</v>
      </c>
      <c r="P60" s="25">
        <f t="shared" si="10"/>
        <v>16</v>
      </c>
      <c r="X60" s="20">
        <f t="shared" si="11"/>
        <v>0.65954724796148412</v>
      </c>
    </row>
    <row r="61" spans="1:24" x14ac:dyDescent="0.25">
      <c r="A61" s="21" t="s">
        <v>139</v>
      </c>
      <c r="B61" s="22"/>
      <c r="C61" s="23">
        <v>92</v>
      </c>
      <c r="D61" s="24">
        <v>62</v>
      </c>
      <c r="E61" s="24">
        <v>59</v>
      </c>
      <c r="F61" s="24">
        <v>48</v>
      </c>
      <c r="G61" s="25">
        <f t="shared" si="6"/>
        <v>169</v>
      </c>
      <c r="H61" s="25">
        <f t="shared" si="7"/>
        <v>92</v>
      </c>
      <c r="I61" s="25">
        <f>MIN(MAX(H61,Inputs!$C$8),Inputs!$C$7)</f>
        <v>92</v>
      </c>
      <c r="J61" s="26">
        <f>IF(I61&gt;0,G61/I61*Inputs!$C$7,0)</f>
        <v>169</v>
      </c>
      <c r="K61" s="27">
        <f t="shared" si="8"/>
        <v>3.3434315227916143E-3</v>
      </c>
      <c r="L61" s="28">
        <f>K61*Inputs!$C$4</f>
        <v>93.659547247961484</v>
      </c>
      <c r="M61" s="25">
        <f>IF(RANK(L61-INT(L61),$X$3:$X$141)+COUNTIF($X$3:X61,L61-INT(L61))-1&lt;=Inputs!$C$4-SUMPRODUCT(INT($L$3:$L$141)),1,0)</f>
        <v>1</v>
      </c>
      <c r="N61" s="25">
        <f t="shared" si="9"/>
        <v>94</v>
      </c>
      <c r="O61" s="24">
        <v>68</v>
      </c>
      <c r="P61" s="25">
        <f t="shared" si="10"/>
        <v>26</v>
      </c>
      <c r="X61" s="20">
        <f t="shared" si="11"/>
        <v>0.65954724796148412</v>
      </c>
    </row>
    <row r="62" spans="1:24" x14ac:dyDescent="0.25">
      <c r="A62" s="21" t="s">
        <v>140</v>
      </c>
      <c r="B62" s="22"/>
      <c r="C62" s="23">
        <v>92</v>
      </c>
      <c r="D62" s="24">
        <v>59</v>
      </c>
      <c r="E62" s="24">
        <v>61</v>
      </c>
      <c r="F62" s="24">
        <v>47</v>
      </c>
      <c r="G62" s="25">
        <f t="shared" si="6"/>
        <v>167</v>
      </c>
      <c r="H62" s="25">
        <f t="shared" si="7"/>
        <v>92</v>
      </c>
      <c r="I62" s="25">
        <f>MIN(MAX(H62,Inputs!$C$8),Inputs!$C$7)</f>
        <v>92</v>
      </c>
      <c r="J62" s="26">
        <f>IF(I62&gt;0,G62/I62*Inputs!$C$7,0)</f>
        <v>167</v>
      </c>
      <c r="K62" s="27">
        <f t="shared" si="8"/>
        <v>3.3038642858355008E-3</v>
      </c>
      <c r="L62" s="28">
        <f>K62*Inputs!$C$4</f>
        <v>92.551150239109887</v>
      </c>
      <c r="M62" s="25">
        <f>IF(RANK(L62-INT(L62),$X$3:$X$141)+COUNTIF($X$3:X62,L62-INT(L62))-1&lt;=Inputs!$C$4-SUMPRODUCT(INT($L$3:$L$141)),1,0)</f>
        <v>1</v>
      </c>
      <c r="N62" s="25">
        <f t="shared" si="9"/>
        <v>93</v>
      </c>
      <c r="O62" s="24">
        <v>84</v>
      </c>
      <c r="P62" s="25">
        <f t="shared" si="10"/>
        <v>9</v>
      </c>
      <c r="X62" s="20">
        <f t="shared" si="11"/>
        <v>0.55115023910988725</v>
      </c>
    </row>
    <row r="63" spans="1:24" x14ac:dyDescent="0.25">
      <c r="A63" s="21" t="s">
        <v>141</v>
      </c>
      <c r="B63" s="22"/>
      <c r="C63" s="23">
        <v>92</v>
      </c>
      <c r="D63" s="24">
        <v>59</v>
      </c>
      <c r="E63" s="24">
        <v>46</v>
      </c>
      <c r="F63" s="24">
        <v>61</v>
      </c>
      <c r="G63" s="25">
        <f t="shared" si="6"/>
        <v>166</v>
      </c>
      <c r="H63" s="25">
        <f t="shared" si="7"/>
        <v>92</v>
      </c>
      <c r="I63" s="25">
        <f>MIN(MAX(H63,Inputs!$C$8),Inputs!$C$7)</f>
        <v>92</v>
      </c>
      <c r="J63" s="26">
        <f>IF(I63&gt;0,G63/I63*Inputs!$C$7,0)</f>
        <v>166</v>
      </c>
      <c r="K63" s="27">
        <f t="shared" si="8"/>
        <v>3.2840806673574436E-3</v>
      </c>
      <c r="L63" s="28">
        <f>K63*Inputs!$C$4</f>
        <v>91.99695173468406</v>
      </c>
      <c r="M63" s="25">
        <f>IF(RANK(L63-INT(L63),$X$3:$X$141)+COUNTIF($X$3:X63,L63-INT(L63))-1&lt;=Inputs!$C$4-SUMPRODUCT(INT($L$3:$L$141)),1,0)</f>
        <v>1</v>
      </c>
      <c r="N63" s="25">
        <f t="shared" si="9"/>
        <v>92</v>
      </c>
      <c r="O63" s="24">
        <v>44</v>
      </c>
      <c r="P63" s="25">
        <f t="shared" si="10"/>
        <v>48</v>
      </c>
      <c r="X63" s="20">
        <f t="shared" si="11"/>
        <v>0.9969517346840604</v>
      </c>
    </row>
    <row r="64" spans="1:24" x14ac:dyDescent="0.25">
      <c r="A64" s="21" t="s">
        <v>142</v>
      </c>
      <c r="B64" s="22"/>
      <c r="C64" s="23">
        <v>92</v>
      </c>
      <c r="D64" s="24">
        <v>54</v>
      </c>
      <c r="E64" s="24">
        <v>61</v>
      </c>
      <c r="F64" s="24">
        <v>48</v>
      </c>
      <c r="G64" s="25">
        <f t="shared" si="6"/>
        <v>163</v>
      </c>
      <c r="H64" s="25">
        <f t="shared" si="7"/>
        <v>92</v>
      </c>
      <c r="I64" s="25">
        <f>MIN(MAX(H64,Inputs!$C$8),Inputs!$C$7)</f>
        <v>92</v>
      </c>
      <c r="J64" s="26">
        <f>IF(I64&gt;0,G64/I64*Inputs!$C$7,0)</f>
        <v>163</v>
      </c>
      <c r="K64" s="27">
        <f t="shared" si="8"/>
        <v>3.2247298119232729E-3</v>
      </c>
      <c r="L64" s="28">
        <f>K64*Inputs!$C$4</f>
        <v>90.334356221406651</v>
      </c>
      <c r="M64" s="25">
        <f>IF(RANK(L64-INT(L64),$X$3:$X$141)+COUNTIF($X$3:X64,L64-INT(L64))-1&lt;=Inputs!$C$4-SUMPRODUCT(INT($L$3:$L$141)),1,0)</f>
        <v>0</v>
      </c>
      <c r="N64" s="25">
        <f t="shared" si="9"/>
        <v>90</v>
      </c>
      <c r="O64" s="24">
        <v>73</v>
      </c>
      <c r="P64" s="25">
        <f t="shared" si="10"/>
        <v>17</v>
      </c>
      <c r="X64" s="20">
        <f t="shared" si="11"/>
        <v>0.33435622140665089</v>
      </c>
    </row>
    <row r="65" spans="1:24" x14ac:dyDescent="0.25">
      <c r="A65" s="21" t="s">
        <v>143</v>
      </c>
      <c r="B65" s="22"/>
      <c r="C65" s="23">
        <v>92</v>
      </c>
      <c r="D65" s="24">
        <v>54</v>
      </c>
      <c r="E65" s="24">
        <v>64</v>
      </c>
      <c r="F65" s="24">
        <v>42</v>
      </c>
      <c r="G65" s="25">
        <f t="shared" si="6"/>
        <v>160</v>
      </c>
      <c r="H65" s="25">
        <f t="shared" si="7"/>
        <v>92</v>
      </c>
      <c r="I65" s="25">
        <f>MIN(MAX(H65,Inputs!$C$8),Inputs!$C$7)</f>
        <v>92</v>
      </c>
      <c r="J65" s="26">
        <f>IF(I65&gt;0,G65/I65*Inputs!$C$7,0)</f>
        <v>160</v>
      </c>
      <c r="K65" s="27">
        <f t="shared" si="8"/>
        <v>3.1653789564891023E-3</v>
      </c>
      <c r="L65" s="28">
        <f>K65*Inputs!$C$4</f>
        <v>88.671760708129227</v>
      </c>
      <c r="M65" s="25">
        <f>IF(RANK(L65-INT(L65),$X$3:$X$141)+COUNTIF($X$3:X65,L65-INT(L65))-1&lt;=Inputs!$C$4-SUMPRODUCT(INT($L$3:$L$141)),1,0)</f>
        <v>1</v>
      </c>
      <c r="N65" s="25">
        <f t="shared" si="9"/>
        <v>89</v>
      </c>
      <c r="O65" s="24">
        <v>167</v>
      </c>
      <c r="P65" s="25">
        <f t="shared" si="10"/>
        <v>-78</v>
      </c>
      <c r="X65" s="20">
        <f t="shared" si="11"/>
        <v>0.67176070812922717</v>
      </c>
    </row>
    <row r="66" spans="1:24" x14ac:dyDescent="0.25">
      <c r="A66" s="21" t="s">
        <v>144</v>
      </c>
      <c r="B66" s="22"/>
      <c r="C66" s="23">
        <v>92</v>
      </c>
      <c r="D66" s="24">
        <v>55</v>
      </c>
      <c r="E66" s="24">
        <v>67</v>
      </c>
      <c r="F66" s="24">
        <v>39</v>
      </c>
      <c r="G66" s="25">
        <f t="shared" si="6"/>
        <v>161</v>
      </c>
      <c r="H66" s="25">
        <f t="shared" si="7"/>
        <v>92</v>
      </c>
      <c r="I66" s="25">
        <f>MIN(MAX(H66,Inputs!$C$8),Inputs!$C$7)</f>
        <v>92</v>
      </c>
      <c r="J66" s="26">
        <f>IF(I66&gt;0,G66/I66*Inputs!$C$7,0)</f>
        <v>161</v>
      </c>
      <c r="K66" s="27">
        <f t="shared" si="8"/>
        <v>3.185162574967159E-3</v>
      </c>
      <c r="L66" s="28">
        <f>K66*Inputs!$C$4</f>
        <v>89.225959212555026</v>
      </c>
      <c r="M66" s="25">
        <f>IF(RANK(L66-INT(L66),$X$3:$X$141)+COUNTIF($X$3:X66,L66-INT(L66))-1&lt;=Inputs!$C$4-SUMPRODUCT(INT($L$3:$L$141)),1,0)</f>
        <v>0</v>
      </c>
      <c r="N66" s="25">
        <f t="shared" si="9"/>
        <v>89</v>
      </c>
      <c r="O66" s="24">
        <v>78</v>
      </c>
      <c r="P66" s="25">
        <f t="shared" si="10"/>
        <v>11</v>
      </c>
      <c r="X66" s="20">
        <f t="shared" si="11"/>
        <v>0.2259592125550256</v>
      </c>
    </row>
    <row r="67" spans="1:24" x14ac:dyDescent="0.25">
      <c r="A67" s="21" t="s">
        <v>145</v>
      </c>
      <c r="B67" s="22"/>
      <c r="C67" s="23">
        <v>92</v>
      </c>
      <c r="D67" s="24">
        <v>63</v>
      </c>
      <c r="E67" s="24">
        <v>45</v>
      </c>
      <c r="F67" s="24">
        <v>53</v>
      </c>
      <c r="G67" s="25">
        <f t="shared" ref="G67:G98" si="12">SUM(D67:F67)</f>
        <v>161</v>
      </c>
      <c r="H67" s="25">
        <f t="shared" ref="H67:H98" si="13">C67</f>
        <v>92</v>
      </c>
      <c r="I67" s="25">
        <f>MIN(MAX(H67,Inputs!$C$8),Inputs!$C$7)</f>
        <v>92</v>
      </c>
      <c r="J67" s="26">
        <f>IF(I67&gt;0,G67/I67*Inputs!$C$7,0)</f>
        <v>161</v>
      </c>
      <c r="K67" s="27">
        <f t="shared" ref="K67:K98" si="14">J67/SUM($J$3:$J$141)</f>
        <v>3.185162574967159E-3</v>
      </c>
      <c r="L67" s="28">
        <f>K67*Inputs!$C$4</f>
        <v>89.225959212555026</v>
      </c>
      <c r="M67" s="25">
        <f>IF(RANK(L67-INT(L67),$X$3:$X$141)+COUNTIF($X$3:X67,L67-INT(L67))-1&lt;=Inputs!$C$4-SUMPRODUCT(INT($L$3:$L$141)),1,0)</f>
        <v>0</v>
      </c>
      <c r="N67" s="25">
        <f t="shared" ref="N67:N98" si="15">INT(L67)+M67</f>
        <v>89</v>
      </c>
      <c r="O67" s="24">
        <v>53</v>
      </c>
      <c r="P67" s="25">
        <f t="shared" ref="P67:P98" si="16">IF(O67="","",N67-O67)</f>
        <v>36</v>
      </c>
      <c r="X67" s="20">
        <f t="shared" ref="X67:X98" si="17">L67-INT(L67)</f>
        <v>0.2259592125550256</v>
      </c>
    </row>
    <row r="68" spans="1:24" x14ac:dyDescent="0.25">
      <c r="A68" s="21" t="s">
        <v>146</v>
      </c>
      <c r="B68" s="22"/>
      <c r="C68" s="23">
        <v>92</v>
      </c>
      <c r="D68" s="24">
        <v>51</v>
      </c>
      <c r="E68" s="24">
        <v>59</v>
      </c>
      <c r="F68" s="24">
        <v>46</v>
      </c>
      <c r="G68" s="25">
        <f t="shared" si="12"/>
        <v>156</v>
      </c>
      <c r="H68" s="25">
        <f t="shared" si="13"/>
        <v>92</v>
      </c>
      <c r="I68" s="25">
        <f>MIN(MAX(H68,Inputs!$C$8),Inputs!$C$7)</f>
        <v>92</v>
      </c>
      <c r="J68" s="26">
        <f>IF(I68&gt;0,G68/I68*Inputs!$C$7,0)</f>
        <v>156</v>
      </c>
      <c r="K68" s="27">
        <f t="shared" si="14"/>
        <v>3.0862444825768749E-3</v>
      </c>
      <c r="L68" s="28">
        <f>K68*Inputs!$C$4</f>
        <v>86.454966690425991</v>
      </c>
      <c r="M68" s="25">
        <f>IF(RANK(L68-INT(L68),$X$3:$X$141)+COUNTIF($X$3:X68,L68-INT(L68))-1&lt;=Inputs!$C$4-SUMPRODUCT(INT($L$3:$L$141)),1,0)</f>
        <v>0</v>
      </c>
      <c r="N68" s="25">
        <f t="shared" si="15"/>
        <v>86</v>
      </c>
      <c r="O68" s="24">
        <v>192</v>
      </c>
      <c r="P68" s="25">
        <f t="shared" si="16"/>
        <v>-106</v>
      </c>
      <c r="X68" s="20">
        <f t="shared" si="17"/>
        <v>0.45496669042599081</v>
      </c>
    </row>
    <row r="69" spans="1:24" x14ac:dyDescent="0.25">
      <c r="A69" s="21" t="s">
        <v>147</v>
      </c>
      <c r="B69" s="22"/>
      <c r="C69" s="23">
        <v>92</v>
      </c>
      <c r="D69" s="24">
        <v>46</v>
      </c>
      <c r="E69" s="24">
        <v>46</v>
      </c>
      <c r="F69" s="24">
        <v>63</v>
      </c>
      <c r="G69" s="25">
        <f t="shared" si="12"/>
        <v>155</v>
      </c>
      <c r="H69" s="25">
        <f t="shared" si="13"/>
        <v>92</v>
      </c>
      <c r="I69" s="25">
        <f>MIN(MAX(H69,Inputs!$C$8),Inputs!$C$7)</f>
        <v>92</v>
      </c>
      <c r="J69" s="26">
        <f>IF(I69&gt;0,G69/I69*Inputs!$C$7,0)</f>
        <v>155</v>
      </c>
      <c r="K69" s="27">
        <f t="shared" si="14"/>
        <v>3.0664608640988177E-3</v>
      </c>
      <c r="L69" s="28">
        <f>K69*Inputs!$C$4</f>
        <v>85.900768186000178</v>
      </c>
      <c r="M69" s="25">
        <f>IF(RANK(L69-INT(L69),$X$3:$X$141)+COUNTIF($X$3:X69,L69-INT(L69))-1&lt;=Inputs!$C$4-SUMPRODUCT(INT($L$3:$L$141)),1,0)</f>
        <v>1</v>
      </c>
      <c r="N69" s="25">
        <f t="shared" si="15"/>
        <v>86</v>
      </c>
      <c r="O69" s="24">
        <v>111</v>
      </c>
      <c r="P69" s="25">
        <f t="shared" si="16"/>
        <v>-25</v>
      </c>
      <c r="X69" s="20">
        <f t="shared" si="17"/>
        <v>0.90076818600017816</v>
      </c>
    </row>
    <row r="70" spans="1:24" x14ac:dyDescent="0.25">
      <c r="A70" s="21" t="s">
        <v>148</v>
      </c>
      <c r="B70" s="22"/>
      <c r="C70" s="23">
        <v>92</v>
      </c>
      <c r="D70" s="24">
        <v>42</v>
      </c>
      <c r="E70" s="24">
        <v>60</v>
      </c>
      <c r="F70" s="24">
        <v>51</v>
      </c>
      <c r="G70" s="25">
        <f t="shared" si="12"/>
        <v>153</v>
      </c>
      <c r="H70" s="25">
        <f t="shared" si="13"/>
        <v>92</v>
      </c>
      <c r="I70" s="25">
        <f>MIN(MAX(H70,Inputs!$C$8),Inputs!$C$7)</f>
        <v>92</v>
      </c>
      <c r="J70" s="26">
        <f>IF(I70&gt;0,G70/I70*Inputs!$C$7,0)</f>
        <v>153</v>
      </c>
      <c r="K70" s="27">
        <f t="shared" si="14"/>
        <v>3.0268936271427042E-3</v>
      </c>
      <c r="L70" s="28">
        <f>K70*Inputs!$C$4</f>
        <v>84.792371177148567</v>
      </c>
      <c r="M70" s="25">
        <f>IF(RANK(L70-INT(L70),$X$3:$X$141)+COUNTIF($X$3:X70,L70-INT(L70))-1&lt;=Inputs!$C$4-SUMPRODUCT(INT($L$3:$L$141)),1,0)</f>
        <v>1</v>
      </c>
      <c r="N70" s="25">
        <f t="shared" si="15"/>
        <v>85</v>
      </c>
      <c r="O70" s="24">
        <v>56</v>
      </c>
      <c r="P70" s="25">
        <f t="shared" si="16"/>
        <v>29</v>
      </c>
      <c r="X70" s="20">
        <f t="shared" si="17"/>
        <v>0.79237117714856709</v>
      </c>
    </row>
    <row r="71" spans="1:24" x14ac:dyDescent="0.25">
      <c r="A71" s="21" t="s">
        <v>149</v>
      </c>
      <c r="B71" s="22"/>
      <c r="C71" s="23">
        <v>92</v>
      </c>
      <c r="D71" s="24">
        <v>53</v>
      </c>
      <c r="E71" s="24">
        <v>32</v>
      </c>
      <c r="F71" s="24">
        <v>53</v>
      </c>
      <c r="G71" s="25">
        <f t="shared" si="12"/>
        <v>138</v>
      </c>
      <c r="H71" s="25">
        <f t="shared" si="13"/>
        <v>92</v>
      </c>
      <c r="I71" s="25">
        <f>MIN(MAX(H71,Inputs!$C$8),Inputs!$C$7)</f>
        <v>92</v>
      </c>
      <c r="J71" s="26">
        <f>IF(I71&gt;0,G71/I71*Inputs!$C$7,0)</f>
        <v>138</v>
      </c>
      <c r="K71" s="27">
        <f t="shared" si="14"/>
        <v>2.7301393499718509E-3</v>
      </c>
      <c r="L71" s="28">
        <f>K71*Inputs!$C$4</f>
        <v>76.479393610761463</v>
      </c>
      <c r="M71" s="25">
        <f>IF(RANK(L71-INT(L71),$X$3:$X$141)+COUNTIF($X$3:X71,L71-INT(L71))-1&lt;=Inputs!$C$4-SUMPRODUCT(INT($L$3:$L$141)),1,0)</f>
        <v>0</v>
      </c>
      <c r="N71" s="25">
        <f t="shared" si="15"/>
        <v>76</v>
      </c>
      <c r="O71" s="24">
        <v>56</v>
      </c>
      <c r="P71" s="25">
        <f t="shared" si="16"/>
        <v>20</v>
      </c>
      <c r="X71" s="20">
        <f t="shared" si="17"/>
        <v>0.4793936107614627</v>
      </c>
    </row>
    <row r="72" spans="1:24" x14ac:dyDescent="0.25">
      <c r="A72" s="21" t="s">
        <v>150</v>
      </c>
      <c r="B72" s="22"/>
      <c r="C72" s="23">
        <v>92</v>
      </c>
      <c r="D72" s="24">
        <v>65</v>
      </c>
      <c r="E72" s="24">
        <v>45</v>
      </c>
      <c r="F72" s="24">
        <v>21</v>
      </c>
      <c r="G72" s="25">
        <f t="shared" si="12"/>
        <v>131</v>
      </c>
      <c r="H72" s="25">
        <f t="shared" si="13"/>
        <v>92</v>
      </c>
      <c r="I72" s="25">
        <f>MIN(MAX(H72,Inputs!$C$8),Inputs!$C$7)</f>
        <v>92</v>
      </c>
      <c r="J72" s="26">
        <f>IF(I72&gt;0,G72/I72*Inputs!$C$7,0)</f>
        <v>131</v>
      </c>
      <c r="K72" s="27">
        <f t="shared" si="14"/>
        <v>2.5916540206254524E-3</v>
      </c>
      <c r="L72" s="28">
        <f>K72*Inputs!$C$4</f>
        <v>72.600004079780803</v>
      </c>
      <c r="M72" s="25">
        <f>IF(RANK(L72-INT(L72),$X$3:$X$141)+COUNTIF($X$3:X72,L72-INT(L72))-1&lt;=Inputs!$C$4-SUMPRODUCT(INT($L$3:$L$141)),1,0)</f>
        <v>1</v>
      </c>
      <c r="N72" s="25">
        <f t="shared" si="15"/>
        <v>73</v>
      </c>
      <c r="O72" s="24">
        <v>56</v>
      </c>
      <c r="P72" s="25">
        <f t="shared" si="16"/>
        <v>17</v>
      </c>
      <c r="X72" s="20">
        <f t="shared" si="17"/>
        <v>0.60000407978080261</v>
      </c>
    </row>
    <row r="73" spans="1:24" x14ac:dyDescent="0.25">
      <c r="A73" s="21" t="s">
        <v>151</v>
      </c>
      <c r="B73" s="22"/>
      <c r="C73" s="23">
        <v>92</v>
      </c>
      <c r="D73" s="24">
        <v>66</v>
      </c>
      <c r="E73" s="24">
        <v>52</v>
      </c>
      <c r="F73" s="24">
        <v>13</v>
      </c>
      <c r="G73" s="25">
        <f t="shared" si="12"/>
        <v>131</v>
      </c>
      <c r="H73" s="25">
        <f t="shared" si="13"/>
        <v>92</v>
      </c>
      <c r="I73" s="25">
        <f>MIN(MAX(H73,Inputs!$C$8),Inputs!$C$7)</f>
        <v>92</v>
      </c>
      <c r="J73" s="26">
        <f>IF(I73&gt;0,G73/I73*Inputs!$C$7,0)</f>
        <v>131</v>
      </c>
      <c r="K73" s="27">
        <f t="shared" si="14"/>
        <v>2.5916540206254524E-3</v>
      </c>
      <c r="L73" s="28">
        <f>K73*Inputs!$C$4</f>
        <v>72.600004079780803</v>
      </c>
      <c r="M73" s="25">
        <f>IF(RANK(L73-INT(L73),$X$3:$X$141)+COUNTIF($X$3:X73,L73-INT(L73))-1&lt;=Inputs!$C$4-SUMPRODUCT(INT($L$3:$L$141)),1,0)</f>
        <v>1</v>
      </c>
      <c r="N73" s="25">
        <f t="shared" si="15"/>
        <v>73</v>
      </c>
      <c r="O73" s="24">
        <v>111</v>
      </c>
      <c r="P73" s="25">
        <f t="shared" si="16"/>
        <v>-38</v>
      </c>
      <c r="X73" s="20">
        <f t="shared" si="17"/>
        <v>0.60000407978080261</v>
      </c>
    </row>
    <row r="74" spans="1:24" x14ac:dyDescent="0.25">
      <c r="A74" s="21" t="s">
        <v>152</v>
      </c>
      <c r="B74" s="22">
        <v>46290</v>
      </c>
      <c r="C74" s="23">
        <v>6</v>
      </c>
      <c r="D74" s="24">
        <v>0</v>
      </c>
      <c r="E74" s="24">
        <v>0</v>
      </c>
      <c r="F74" s="24">
        <v>19</v>
      </c>
      <c r="G74" s="25">
        <f t="shared" si="12"/>
        <v>19</v>
      </c>
      <c r="H74" s="25">
        <f t="shared" si="13"/>
        <v>6</v>
      </c>
      <c r="I74" s="25">
        <f>MIN(MAX(H74,Inputs!$C$8),Inputs!$C$7)</f>
        <v>14</v>
      </c>
      <c r="J74" s="26">
        <f>IF(I74&gt;0,G74/I74*Inputs!$C$7,0)</f>
        <v>124.85714285714286</v>
      </c>
      <c r="K74" s="27">
        <f t="shared" si="14"/>
        <v>2.4701260785459601E-3</v>
      </c>
      <c r="L74" s="28">
        <f>K74*Inputs!$C$4</f>
        <v>69.195641838307978</v>
      </c>
      <c r="M74" s="25">
        <f>IF(RANK(L74-INT(L74),$X$3:$X$141)+COUNTIF($X$3:X74,L74-INT(L74))-1&lt;=Inputs!$C$4-SUMPRODUCT(INT($L$3:$L$141)),1,0)</f>
        <v>0</v>
      </c>
      <c r="N74" s="25">
        <f t="shared" si="15"/>
        <v>69</v>
      </c>
      <c r="O74" s="24">
        <v>0</v>
      </c>
      <c r="P74" s="25">
        <f t="shared" si="16"/>
        <v>69</v>
      </c>
      <c r="X74" s="20">
        <f t="shared" si="17"/>
        <v>0.19564183830797788</v>
      </c>
    </row>
    <row r="75" spans="1:24" x14ac:dyDescent="0.25">
      <c r="A75" s="21" t="s">
        <v>153</v>
      </c>
      <c r="B75" s="22"/>
      <c r="C75" s="23">
        <v>92</v>
      </c>
      <c r="D75" s="24">
        <v>47</v>
      </c>
      <c r="E75" s="24">
        <v>38</v>
      </c>
      <c r="F75" s="24">
        <v>32</v>
      </c>
      <c r="G75" s="25">
        <f t="shared" si="12"/>
        <v>117</v>
      </c>
      <c r="H75" s="25">
        <f t="shared" si="13"/>
        <v>92</v>
      </c>
      <c r="I75" s="25">
        <f>MIN(MAX(H75,Inputs!$C$8),Inputs!$C$7)</f>
        <v>92</v>
      </c>
      <c r="J75" s="26">
        <f>IF(I75&gt;0,G75/I75*Inputs!$C$7,0)</f>
        <v>117.00000000000001</v>
      </c>
      <c r="K75" s="27">
        <f t="shared" si="14"/>
        <v>2.3146833619326563E-3</v>
      </c>
      <c r="L75" s="28">
        <f>K75*Inputs!$C$4</f>
        <v>64.841225017819497</v>
      </c>
      <c r="M75" s="25">
        <f>IF(RANK(L75-INT(L75),$X$3:$X$141)+COUNTIF($X$3:X75,L75-INT(L75))-1&lt;=Inputs!$C$4-SUMPRODUCT(INT($L$3:$L$141)),1,0)</f>
        <v>1</v>
      </c>
      <c r="N75" s="25">
        <f t="shared" si="15"/>
        <v>65</v>
      </c>
      <c r="O75" s="24">
        <v>111</v>
      </c>
      <c r="P75" s="25">
        <f t="shared" si="16"/>
        <v>-46</v>
      </c>
      <c r="X75" s="20">
        <f t="shared" si="17"/>
        <v>0.84122501781949666</v>
      </c>
    </row>
    <row r="76" spans="1:24" x14ac:dyDescent="0.25">
      <c r="A76" s="21" t="s">
        <v>154</v>
      </c>
      <c r="B76" s="22"/>
      <c r="C76" s="23">
        <v>90</v>
      </c>
      <c r="D76" s="24">
        <v>0</v>
      </c>
      <c r="E76" s="24">
        <v>3</v>
      </c>
      <c r="F76" s="24">
        <v>108</v>
      </c>
      <c r="G76" s="25">
        <f t="shared" si="12"/>
        <v>111</v>
      </c>
      <c r="H76" s="25">
        <f t="shared" si="13"/>
        <v>90</v>
      </c>
      <c r="I76" s="25">
        <f>MIN(MAX(H76,Inputs!$C$8),Inputs!$C$7)</f>
        <v>90</v>
      </c>
      <c r="J76" s="26">
        <f>IF(I76&gt;0,G76/I76*Inputs!$C$7,0)</f>
        <v>113.46666666666667</v>
      </c>
      <c r="K76" s="27">
        <f t="shared" si="14"/>
        <v>2.2447812433101883E-3</v>
      </c>
      <c r="L76" s="28">
        <f>K76*Inputs!$C$4</f>
        <v>62.883056968848308</v>
      </c>
      <c r="M76" s="25">
        <f>IF(RANK(L76-INT(L76),$X$3:$X$141)+COUNTIF($X$3:X76,L76-INT(L76))-1&lt;=Inputs!$C$4-SUMPRODUCT(INT($L$3:$L$141)),1,0)</f>
        <v>1</v>
      </c>
      <c r="N76" s="25">
        <f t="shared" si="15"/>
        <v>63</v>
      </c>
      <c r="O76" s="24"/>
      <c r="P76" s="25" t="str">
        <f t="shared" si="16"/>
        <v/>
      </c>
      <c r="X76" s="20">
        <f t="shared" si="17"/>
        <v>0.88305696884830809</v>
      </c>
    </row>
    <row r="77" spans="1:24" x14ac:dyDescent="0.25">
      <c r="A77" s="21" t="s">
        <v>155</v>
      </c>
      <c r="B77" s="22"/>
      <c r="C77" s="23">
        <v>92</v>
      </c>
      <c r="D77" s="24">
        <v>40</v>
      </c>
      <c r="E77" s="24">
        <v>44</v>
      </c>
      <c r="F77" s="24">
        <v>29</v>
      </c>
      <c r="G77" s="25">
        <f t="shared" si="12"/>
        <v>113</v>
      </c>
      <c r="H77" s="25">
        <f t="shared" si="13"/>
        <v>92</v>
      </c>
      <c r="I77" s="25">
        <f>MIN(MAX(H77,Inputs!$C$8),Inputs!$C$7)</f>
        <v>92</v>
      </c>
      <c r="J77" s="26">
        <f>IF(I77&gt;0,G77/I77*Inputs!$C$7,0)</f>
        <v>112.99999999999999</v>
      </c>
      <c r="K77" s="27">
        <f t="shared" si="14"/>
        <v>2.2355488880204284E-3</v>
      </c>
      <c r="L77" s="28">
        <f>K77*Inputs!$C$4</f>
        <v>62.62443100011626</v>
      </c>
      <c r="M77" s="25">
        <f>IF(RANK(L77-INT(L77),$X$3:$X$141)+COUNTIF($X$3:X77,L77-INT(L77))-1&lt;=Inputs!$C$4-SUMPRODUCT(INT($L$3:$L$141)),1,0)</f>
        <v>1</v>
      </c>
      <c r="N77" s="25">
        <f t="shared" si="15"/>
        <v>63</v>
      </c>
      <c r="O77" s="24">
        <v>62</v>
      </c>
      <c r="P77" s="25">
        <f t="shared" si="16"/>
        <v>1</v>
      </c>
      <c r="X77" s="20">
        <f t="shared" si="17"/>
        <v>0.62443100011626029</v>
      </c>
    </row>
    <row r="78" spans="1:24" x14ac:dyDescent="0.25">
      <c r="A78" s="21" t="s">
        <v>156</v>
      </c>
      <c r="B78" s="22"/>
      <c r="C78" s="23">
        <v>92</v>
      </c>
      <c r="D78" s="24">
        <v>41</v>
      </c>
      <c r="E78" s="24">
        <v>40</v>
      </c>
      <c r="F78" s="24">
        <v>24</v>
      </c>
      <c r="G78" s="25">
        <f t="shared" si="12"/>
        <v>105</v>
      </c>
      <c r="H78" s="25">
        <f t="shared" si="13"/>
        <v>92</v>
      </c>
      <c r="I78" s="25">
        <f>MIN(MAX(H78,Inputs!$C$8),Inputs!$C$7)</f>
        <v>92</v>
      </c>
      <c r="J78" s="26">
        <f>IF(I78&gt;0,G78/I78*Inputs!$C$7,0)</f>
        <v>105</v>
      </c>
      <c r="K78" s="27">
        <f t="shared" si="14"/>
        <v>2.0772799401959736E-3</v>
      </c>
      <c r="L78" s="28">
        <f>K78*Inputs!$C$4</f>
        <v>58.190842964709809</v>
      </c>
      <c r="M78" s="25">
        <f>IF(RANK(L78-INT(L78),$X$3:$X$141)+COUNTIF($X$3:X78,L78-INT(L78))-1&lt;=Inputs!$C$4-SUMPRODUCT(INT($L$3:$L$141)),1,0)</f>
        <v>0</v>
      </c>
      <c r="N78" s="25">
        <f t="shared" si="15"/>
        <v>58</v>
      </c>
      <c r="O78" s="24">
        <v>56</v>
      </c>
      <c r="P78" s="25">
        <f t="shared" si="16"/>
        <v>2</v>
      </c>
      <c r="X78" s="20">
        <f t="shared" si="17"/>
        <v>0.19084296470980888</v>
      </c>
    </row>
    <row r="79" spans="1:24" x14ac:dyDescent="0.25">
      <c r="A79" s="21" t="s">
        <v>157</v>
      </c>
      <c r="B79" s="22"/>
      <c r="C79" s="23">
        <v>92</v>
      </c>
      <c r="D79" s="24">
        <v>36</v>
      </c>
      <c r="E79" s="24">
        <v>36</v>
      </c>
      <c r="F79" s="24">
        <v>33</v>
      </c>
      <c r="G79" s="25">
        <f t="shared" si="12"/>
        <v>105</v>
      </c>
      <c r="H79" s="25">
        <f t="shared" si="13"/>
        <v>92</v>
      </c>
      <c r="I79" s="25">
        <f>MIN(MAX(H79,Inputs!$C$8),Inputs!$C$7)</f>
        <v>92</v>
      </c>
      <c r="J79" s="26">
        <f>IF(I79&gt;0,G79/I79*Inputs!$C$7,0)</f>
        <v>105</v>
      </c>
      <c r="K79" s="27">
        <f t="shared" si="14"/>
        <v>2.0772799401959736E-3</v>
      </c>
      <c r="L79" s="28">
        <f>K79*Inputs!$C$4</f>
        <v>58.190842964709809</v>
      </c>
      <c r="M79" s="25">
        <f>IF(RANK(L79-INT(L79),$X$3:$X$141)+COUNTIF($X$3:X79,L79-INT(L79))-1&lt;=Inputs!$C$4-SUMPRODUCT(INT($L$3:$L$141)),1,0)</f>
        <v>0</v>
      </c>
      <c r="N79" s="25">
        <f t="shared" si="15"/>
        <v>58</v>
      </c>
      <c r="O79" s="24">
        <v>132</v>
      </c>
      <c r="P79" s="25">
        <f t="shared" si="16"/>
        <v>-74</v>
      </c>
      <c r="X79" s="20">
        <f t="shared" si="17"/>
        <v>0.19084296470980888</v>
      </c>
    </row>
    <row r="80" spans="1:24" x14ac:dyDescent="0.25">
      <c r="A80" s="21" t="s">
        <v>158</v>
      </c>
      <c r="B80" s="22"/>
      <c r="C80" s="23">
        <v>92</v>
      </c>
      <c r="D80" s="24">
        <v>44</v>
      </c>
      <c r="E80" s="24">
        <v>32</v>
      </c>
      <c r="F80" s="24">
        <v>22</v>
      </c>
      <c r="G80" s="25">
        <f t="shared" si="12"/>
        <v>98</v>
      </c>
      <c r="H80" s="25">
        <f t="shared" si="13"/>
        <v>92</v>
      </c>
      <c r="I80" s="25">
        <f>MIN(MAX(H80,Inputs!$C$8),Inputs!$C$7)</f>
        <v>92</v>
      </c>
      <c r="J80" s="26">
        <f>IF(I80&gt;0,G80/I80*Inputs!$C$7,0)</f>
        <v>98</v>
      </c>
      <c r="K80" s="27">
        <f t="shared" si="14"/>
        <v>1.9387946108495751E-3</v>
      </c>
      <c r="L80" s="28">
        <f>K80*Inputs!$C$4</f>
        <v>54.311453433729149</v>
      </c>
      <c r="M80" s="25">
        <f>IF(RANK(L80-INT(L80),$X$3:$X$141)+COUNTIF($X$3:X80,L80-INT(L80))-1&lt;=Inputs!$C$4-SUMPRODUCT(INT($L$3:$L$141)),1,0)</f>
        <v>0</v>
      </c>
      <c r="N80" s="25">
        <f t="shared" si="15"/>
        <v>54</v>
      </c>
      <c r="O80" s="24">
        <v>33</v>
      </c>
      <c r="P80" s="25">
        <f t="shared" si="16"/>
        <v>21</v>
      </c>
      <c r="X80" s="20">
        <f t="shared" si="17"/>
        <v>0.3114534337291488</v>
      </c>
    </row>
    <row r="81" spans="1:24" x14ac:dyDescent="0.25">
      <c r="A81" s="21" t="s">
        <v>159</v>
      </c>
      <c r="B81" s="22"/>
      <c r="C81" s="23">
        <v>92</v>
      </c>
      <c r="D81" s="24">
        <v>40</v>
      </c>
      <c r="E81" s="24">
        <v>34</v>
      </c>
      <c r="F81" s="24">
        <v>22</v>
      </c>
      <c r="G81" s="25">
        <f t="shared" si="12"/>
        <v>96</v>
      </c>
      <c r="H81" s="25">
        <f t="shared" si="13"/>
        <v>92</v>
      </c>
      <c r="I81" s="25">
        <f>MIN(MAX(H81,Inputs!$C$8),Inputs!$C$7)</f>
        <v>92</v>
      </c>
      <c r="J81" s="26">
        <f>IF(I81&gt;0,G81/I81*Inputs!$C$7,0)</f>
        <v>96</v>
      </c>
      <c r="K81" s="27">
        <f t="shared" si="14"/>
        <v>1.8992273738934614E-3</v>
      </c>
      <c r="L81" s="28">
        <f>K81*Inputs!$C$4</f>
        <v>53.203056424877538</v>
      </c>
      <c r="M81" s="25">
        <f>IF(RANK(L81-INT(L81),$X$3:$X$141)+COUNTIF($X$3:X81,L81-INT(L81))-1&lt;=Inputs!$C$4-SUMPRODUCT(INT($L$3:$L$141)),1,0)</f>
        <v>0</v>
      </c>
      <c r="N81" s="25">
        <f t="shared" si="15"/>
        <v>53</v>
      </c>
      <c r="O81" s="24">
        <v>39</v>
      </c>
      <c r="P81" s="25">
        <f t="shared" si="16"/>
        <v>14</v>
      </c>
      <c r="X81" s="20">
        <f t="shared" si="17"/>
        <v>0.20305642487753772</v>
      </c>
    </row>
    <row r="82" spans="1:24" x14ac:dyDescent="0.25">
      <c r="A82" s="21" t="s">
        <v>160</v>
      </c>
      <c r="B82" s="22"/>
      <c r="C82" s="23">
        <v>92</v>
      </c>
      <c r="D82" s="24">
        <v>35</v>
      </c>
      <c r="E82" s="24">
        <v>28</v>
      </c>
      <c r="F82" s="24">
        <v>31</v>
      </c>
      <c r="G82" s="25">
        <f t="shared" si="12"/>
        <v>94</v>
      </c>
      <c r="H82" s="25">
        <f t="shared" si="13"/>
        <v>92</v>
      </c>
      <c r="I82" s="25">
        <f>MIN(MAX(H82,Inputs!$C$8),Inputs!$C$7)</f>
        <v>92</v>
      </c>
      <c r="J82" s="26">
        <f>IF(I82&gt;0,G82/I82*Inputs!$C$7,0)</f>
        <v>94.000000000000014</v>
      </c>
      <c r="K82" s="27">
        <f t="shared" si="14"/>
        <v>1.8596601369373479E-3</v>
      </c>
      <c r="L82" s="28">
        <f>K82*Inputs!$C$4</f>
        <v>52.094659416025927</v>
      </c>
      <c r="M82" s="25">
        <f>IF(RANK(L82-INT(L82),$X$3:$X$141)+COUNTIF($X$3:X82,L82-INT(L82))-1&lt;=Inputs!$C$4-SUMPRODUCT(INT($L$3:$L$141)),1,0)</f>
        <v>0</v>
      </c>
      <c r="N82" s="25">
        <f t="shared" si="15"/>
        <v>52</v>
      </c>
      <c r="O82" s="24">
        <v>56</v>
      </c>
      <c r="P82" s="25">
        <f t="shared" si="16"/>
        <v>-4</v>
      </c>
      <c r="X82" s="20">
        <f t="shared" si="17"/>
        <v>9.4659416025926646E-2</v>
      </c>
    </row>
    <row r="83" spans="1:24" x14ac:dyDescent="0.25">
      <c r="A83" s="21" t="s">
        <v>161</v>
      </c>
      <c r="B83" s="22"/>
      <c r="C83" s="23">
        <v>92</v>
      </c>
      <c r="D83" s="24">
        <v>46</v>
      </c>
      <c r="E83" s="24">
        <v>26</v>
      </c>
      <c r="F83" s="24">
        <v>22</v>
      </c>
      <c r="G83" s="25">
        <f t="shared" si="12"/>
        <v>94</v>
      </c>
      <c r="H83" s="25">
        <f t="shared" si="13"/>
        <v>92</v>
      </c>
      <c r="I83" s="25">
        <f>MIN(MAX(H83,Inputs!$C$8),Inputs!$C$7)</f>
        <v>92</v>
      </c>
      <c r="J83" s="26">
        <f>IF(I83&gt;0,G83/I83*Inputs!$C$7,0)</f>
        <v>94.000000000000014</v>
      </c>
      <c r="K83" s="27">
        <f t="shared" si="14"/>
        <v>1.8596601369373479E-3</v>
      </c>
      <c r="L83" s="28">
        <f>K83*Inputs!$C$4</f>
        <v>52.094659416025927</v>
      </c>
      <c r="M83" s="25">
        <f>IF(RANK(L83-INT(L83),$X$3:$X$141)+COUNTIF($X$3:X83,L83-INT(L83))-1&lt;=Inputs!$C$4-SUMPRODUCT(INT($L$3:$L$141)),1,0)</f>
        <v>0</v>
      </c>
      <c r="N83" s="25">
        <f t="shared" si="15"/>
        <v>52</v>
      </c>
      <c r="O83" s="24">
        <v>30</v>
      </c>
      <c r="P83" s="25">
        <f t="shared" si="16"/>
        <v>22</v>
      </c>
      <c r="X83" s="20">
        <f t="shared" si="17"/>
        <v>9.4659416025926646E-2</v>
      </c>
    </row>
    <row r="84" spans="1:24" x14ac:dyDescent="0.25">
      <c r="A84" s="21" t="s">
        <v>162</v>
      </c>
      <c r="B84" s="22"/>
      <c r="C84" s="23">
        <v>92</v>
      </c>
      <c r="D84" s="24">
        <v>49</v>
      </c>
      <c r="E84" s="24">
        <v>24</v>
      </c>
      <c r="F84" s="24">
        <v>20</v>
      </c>
      <c r="G84" s="25">
        <f t="shared" si="12"/>
        <v>93</v>
      </c>
      <c r="H84" s="25">
        <f t="shared" si="13"/>
        <v>92</v>
      </c>
      <c r="I84" s="25">
        <f>MIN(MAX(H84,Inputs!$C$8),Inputs!$C$7)</f>
        <v>92</v>
      </c>
      <c r="J84" s="26">
        <f>IF(I84&gt;0,G84/I84*Inputs!$C$7,0)</f>
        <v>93</v>
      </c>
      <c r="K84" s="27">
        <f t="shared" si="14"/>
        <v>1.8398765184592907E-3</v>
      </c>
      <c r="L84" s="28">
        <f>K84*Inputs!$C$4</f>
        <v>51.540460911600114</v>
      </c>
      <c r="M84" s="25">
        <f>IF(RANK(L84-INT(L84),$X$3:$X$141)+COUNTIF($X$3:X84,L84-INT(L84))-1&lt;=Inputs!$C$4-SUMPRODUCT(INT($L$3:$L$141)),1,0)</f>
        <v>1</v>
      </c>
      <c r="N84" s="25">
        <f t="shared" si="15"/>
        <v>52</v>
      </c>
      <c r="O84" s="24">
        <v>28</v>
      </c>
      <c r="P84" s="25">
        <f t="shared" si="16"/>
        <v>24</v>
      </c>
      <c r="X84" s="20">
        <f t="shared" si="17"/>
        <v>0.540460911600114</v>
      </c>
    </row>
    <row r="85" spans="1:24" x14ac:dyDescent="0.25">
      <c r="A85" s="21" t="s">
        <v>163</v>
      </c>
      <c r="B85" s="22"/>
      <c r="C85" s="23">
        <v>92</v>
      </c>
      <c r="D85" s="24">
        <v>27</v>
      </c>
      <c r="E85" s="24">
        <v>30</v>
      </c>
      <c r="F85" s="24">
        <v>26</v>
      </c>
      <c r="G85" s="25">
        <f t="shared" si="12"/>
        <v>83</v>
      </c>
      <c r="H85" s="25">
        <f t="shared" si="13"/>
        <v>92</v>
      </c>
      <c r="I85" s="25">
        <f>MIN(MAX(H85,Inputs!$C$8),Inputs!$C$7)</f>
        <v>92</v>
      </c>
      <c r="J85" s="26">
        <f>IF(I85&gt;0,G85/I85*Inputs!$C$7,0)</f>
        <v>83</v>
      </c>
      <c r="K85" s="27">
        <f t="shared" si="14"/>
        <v>1.6420403336787218E-3</v>
      </c>
      <c r="L85" s="28">
        <f>K85*Inputs!$C$4</f>
        <v>45.99847586734203</v>
      </c>
      <c r="M85" s="25">
        <f>IF(RANK(L85-INT(L85),$X$3:$X$141)+COUNTIF($X$3:X85,L85-INT(L85))-1&lt;=Inputs!$C$4-SUMPRODUCT(INT($L$3:$L$141)),1,0)</f>
        <v>1</v>
      </c>
      <c r="N85" s="25">
        <f t="shared" si="15"/>
        <v>46</v>
      </c>
      <c r="O85" s="24"/>
      <c r="P85" s="25" t="str">
        <f t="shared" si="16"/>
        <v/>
      </c>
      <c r="X85" s="20">
        <f t="shared" si="17"/>
        <v>0.9984758673420302</v>
      </c>
    </row>
    <row r="86" spans="1:24" x14ac:dyDescent="0.25">
      <c r="A86" s="21" t="s">
        <v>164</v>
      </c>
      <c r="B86" s="22"/>
      <c r="C86" s="23">
        <v>92</v>
      </c>
      <c r="D86" s="24">
        <v>31</v>
      </c>
      <c r="E86" s="24">
        <v>15</v>
      </c>
      <c r="F86" s="24">
        <v>31</v>
      </c>
      <c r="G86" s="25">
        <f t="shared" si="12"/>
        <v>77</v>
      </c>
      <c r="H86" s="25">
        <f t="shared" si="13"/>
        <v>92</v>
      </c>
      <c r="I86" s="25">
        <f>MIN(MAX(H86,Inputs!$C$8),Inputs!$C$7)</f>
        <v>92</v>
      </c>
      <c r="J86" s="26">
        <f>IF(I86&gt;0,G86/I86*Inputs!$C$7,0)</f>
        <v>77</v>
      </c>
      <c r="K86" s="27">
        <f t="shared" si="14"/>
        <v>1.5233386228103805E-3</v>
      </c>
      <c r="L86" s="28">
        <f>K86*Inputs!$C$4</f>
        <v>42.67328484078719</v>
      </c>
      <c r="M86" s="25">
        <f>IF(RANK(L86-INT(L86),$X$3:$X$141)+COUNTIF($X$3:X86,L86-INT(L86))-1&lt;=Inputs!$C$4-SUMPRODUCT(INT($L$3:$L$141)),1,0)</f>
        <v>1</v>
      </c>
      <c r="N86" s="25">
        <f t="shared" si="15"/>
        <v>43</v>
      </c>
      <c r="O86" s="24">
        <v>22</v>
      </c>
      <c r="P86" s="25">
        <f t="shared" si="16"/>
        <v>21</v>
      </c>
      <c r="X86" s="20">
        <f t="shared" si="17"/>
        <v>0.67328484078718986</v>
      </c>
    </row>
    <row r="87" spans="1:24" x14ac:dyDescent="0.25">
      <c r="A87" s="21" t="s">
        <v>165</v>
      </c>
      <c r="B87" s="22"/>
      <c r="C87" s="23">
        <v>92</v>
      </c>
      <c r="D87" s="24">
        <v>5</v>
      </c>
      <c r="E87" s="24">
        <v>32</v>
      </c>
      <c r="F87" s="24">
        <v>38</v>
      </c>
      <c r="G87" s="25">
        <f t="shared" si="12"/>
        <v>75</v>
      </c>
      <c r="H87" s="25">
        <f t="shared" si="13"/>
        <v>92</v>
      </c>
      <c r="I87" s="25">
        <f>MIN(MAX(H87,Inputs!$C$8),Inputs!$C$7)</f>
        <v>92</v>
      </c>
      <c r="J87" s="26">
        <f>IF(I87&gt;0,G87/I87*Inputs!$C$7,0)</f>
        <v>75</v>
      </c>
      <c r="K87" s="27">
        <f t="shared" si="14"/>
        <v>1.4837713858542668E-3</v>
      </c>
      <c r="L87" s="28">
        <f>K87*Inputs!$C$4</f>
        <v>41.564887831935572</v>
      </c>
      <c r="M87" s="25">
        <f>IF(RANK(L87-INT(L87),$X$3:$X$141)+COUNTIF($X$3:X87,L87-INT(L87))-1&lt;=Inputs!$C$4-SUMPRODUCT(INT($L$3:$L$141)),1,0)</f>
        <v>1</v>
      </c>
      <c r="N87" s="25">
        <f t="shared" si="15"/>
        <v>42</v>
      </c>
      <c r="O87" s="24">
        <v>56</v>
      </c>
      <c r="P87" s="25">
        <f t="shared" si="16"/>
        <v>-14</v>
      </c>
      <c r="X87" s="20">
        <f t="shared" si="17"/>
        <v>0.56488783193557168</v>
      </c>
    </row>
    <row r="88" spans="1:24" x14ac:dyDescent="0.25">
      <c r="A88" s="21" t="s">
        <v>166</v>
      </c>
      <c r="B88" s="22"/>
      <c r="C88" s="23">
        <v>92</v>
      </c>
      <c r="D88" s="24">
        <v>25</v>
      </c>
      <c r="E88" s="24">
        <v>18</v>
      </c>
      <c r="F88" s="24">
        <v>26</v>
      </c>
      <c r="G88" s="25">
        <f t="shared" si="12"/>
        <v>69</v>
      </c>
      <c r="H88" s="25">
        <f t="shared" si="13"/>
        <v>92</v>
      </c>
      <c r="I88" s="25">
        <f>MIN(MAX(H88,Inputs!$C$8),Inputs!$C$7)</f>
        <v>92</v>
      </c>
      <c r="J88" s="26">
        <f>IF(I88&gt;0,G88/I88*Inputs!$C$7,0)</f>
        <v>69</v>
      </c>
      <c r="K88" s="27">
        <f t="shared" si="14"/>
        <v>1.3650696749859254E-3</v>
      </c>
      <c r="L88" s="28">
        <f>K88*Inputs!$C$4</f>
        <v>38.239696805380731</v>
      </c>
      <c r="M88" s="25">
        <f>IF(RANK(L88-INT(L88),$X$3:$X$141)+COUNTIF($X$3:X88,L88-INT(L88))-1&lt;=Inputs!$C$4-SUMPRODUCT(INT($L$3:$L$141)),1,0)</f>
        <v>0</v>
      </c>
      <c r="N88" s="25">
        <f t="shared" si="15"/>
        <v>38</v>
      </c>
      <c r="O88" s="24">
        <v>11</v>
      </c>
      <c r="P88" s="25">
        <f t="shared" si="16"/>
        <v>27</v>
      </c>
      <c r="X88" s="20">
        <f t="shared" si="17"/>
        <v>0.23969680538073135</v>
      </c>
    </row>
    <row r="89" spans="1:24" x14ac:dyDescent="0.25">
      <c r="A89" s="21" t="s">
        <v>167</v>
      </c>
      <c r="B89" s="22"/>
      <c r="C89" s="23">
        <v>92</v>
      </c>
      <c r="D89" s="24">
        <v>23</v>
      </c>
      <c r="E89" s="24">
        <v>17</v>
      </c>
      <c r="F89" s="24">
        <v>22</v>
      </c>
      <c r="G89" s="25">
        <f t="shared" si="12"/>
        <v>62</v>
      </c>
      <c r="H89" s="25">
        <f t="shared" si="13"/>
        <v>92</v>
      </c>
      <c r="I89" s="25">
        <f>MIN(MAX(H89,Inputs!$C$8),Inputs!$C$7)</f>
        <v>92</v>
      </c>
      <c r="J89" s="26">
        <f>IF(I89&gt;0,G89/I89*Inputs!$C$7,0)</f>
        <v>62</v>
      </c>
      <c r="K89" s="27">
        <f t="shared" si="14"/>
        <v>1.2265843456395272E-3</v>
      </c>
      <c r="L89" s="28">
        <f>K89*Inputs!$C$4</f>
        <v>34.360307274400071</v>
      </c>
      <c r="M89" s="25">
        <f>IF(RANK(L89-INT(L89),$X$3:$X$141)+COUNTIF($X$3:X89,L89-INT(L89))-1&lt;=Inputs!$C$4-SUMPRODUCT(INT($L$3:$L$141)),1,0)</f>
        <v>0</v>
      </c>
      <c r="N89" s="25">
        <f t="shared" si="15"/>
        <v>34</v>
      </c>
      <c r="O89" s="24">
        <v>17</v>
      </c>
      <c r="P89" s="25">
        <f t="shared" si="16"/>
        <v>17</v>
      </c>
      <c r="X89" s="20">
        <f t="shared" si="17"/>
        <v>0.36030727440007126</v>
      </c>
    </row>
    <row r="90" spans="1:24" x14ac:dyDescent="0.25">
      <c r="A90" s="21" t="s">
        <v>168</v>
      </c>
      <c r="B90" s="22"/>
      <c r="C90" s="23">
        <v>92</v>
      </c>
      <c r="D90" s="24">
        <v>29</v>
      </c>
      <c r="E90" s="24">
        <v>16</v>
      </c>
      <c r="F90" s="24">
        <v>17</v>
      </c>
      <c r="G90" s="25">
        <f t="shared" si="12"/>
        <v>62</v>
      </c>
      <c r="H90" s="25">
        <f t="shared" si="13"/>
        <v>92</v>
      </c>
      <c r="I90" s="25">
        <f>MIN(MAX(H90,Inputs!$C$8),Inputs!$C$7)</f>
        <v>92</v>
      </c>
      <c r="J90" s="26">
        <f>IF(I90&gt;0,G90/I90*Inputs!$C$7,0)</f>
        <v>62</v>
      </c>
      <c r="K90" s="27">
        <f t="shared" si="14"/>
        <v>1.2265843456395272E-3</v>
      </c>
      <c r="L90" s="28">
        <f>K90*Inputs!$C$4</f>
        <v>34.360307274400071</v>
      </c>
      <c r="M90" s="25">
        <f>IF(RANK(L90-INT(L90),$X$3:$X$141)+COUNTIF($X$3:X90,L90-INT(L90))-1&lt;=Inputs!$C$4-SUMPRODUCT(INT($L$3:$L$141)),1,0)</f>
        <v>0</v>
      </c>
      <c r="N90" s="25">
        <f t="shared" si="15"/>
        <v>34</v>
      </c>
      <c r="O90" s="24">
        <v>39</v>
      </c>
      <c r="P90" s="25">
        <f t="shared" si="16"/>
        <v>-5</v>
      </c>
      <c r="X90" s="20">
        <f t="shared" si="17"/>
        <v>0.36030727440007126</v>
      </c>
    </row>
    <row r="91" spans="1:24" x14ac:dyDescent="0.25">
      <c r="A91" s="21" t="s">
        <v>169</v>
      </c>
      <c r="B91" s="22"/>
      <c r="C91" s="23">
        <v>92</v>
      </c>
      <c r="D91" s="24">
        <v>25</v>
      </c>
      <c r="E91" s="24">
        <v>26</v>
      </c>
      <c r="F91" s="24">
        <v>7</v>
      </c>
      <c r="G91" s="25">
        <f t="shared" si="12"/>
        <v>58</v>
      </c>
      <c r="H91" s="25">
        <f t="shared" si="13"/>
        <v>92</v>
      </c>
      <c r="I91" s="25">
        <f>MIN(MAX(H91,Inputs!$C$8),Inputs!$C$7)</f>
        <v>92</v>
      </c>
      <c r="J91" s="26">
        <f>IF(I91&gt;0,G91/I91*Inputs!$C$7,0)</f>
        <v>58</v>
      </c>
      <c r="K91" s="27">
        <f t="shared" si="14"/>
        <v>1.1474498717272995E-3</v>
      </c>
      <c r="L91" s="28">
        <f>K91*Inputs!$C$4</f>
        <v>32.143513256696842</v>
      </c>
      <c r="M91" s="25">
        <f>IF(RANK(L91-INT(L91),$X$3:$X$141)+COUNTIF($X$3:X91,L91-INT(L91))-1&lt;=Inputs!$C$4-SUMPRODUCT(INT($L$3:$L$141)),1,0)</f>
        <v>0</v>
      </c>
      <c r="N91" s="25">
        <f t="shared" si="15"/>
        <v>32</v>
      </c>
      <c r="O91" s="24">
        <v>23</v>
      </c>
      <c r="P91" s="25">
        <f t="shared" si="16"/>
        <v>9</v>
      </c>
      <c r="X91" s="20">
        <f t="shared" si="17"/>
        <v>0.14351325669684201</v>
      </c>
    </row>
    <row r="92" spans="1:24" x14ac:dyDescent="0.25">
      <c r="A92" s="21" t="s">
        <v>170</v>
      </c>
      <c r="B92" s="22"/>
      <c r="C92" s="23">
        <v>13</v>
      </c>
      <c r="D92" s="24">
        <v>8</v>
      </c>
      <c r="E92" s="24">
        <v>0</v>
      </c>
      <c r="F92" s="24">
        <v>0</v>
      </c>
      <c r="G92" s="25">
        <f t="shared" si="12"/>
        <v>8</v>
      </c>
      <c r="H92" s="25">
        <f t="shared" si="13"/>
        <v>13</v>
      </c>
      <c r="I92" s="25">
        <f>MIN(MAX(H92,Inputs!$C$8),Inputs!$C$7)</f>
        <v>14</v>
      </c>
      <c r="J92" s="26">
        <f>IF(I92&gt;0,G92/I92*Inputs!$C$7,0)</f>
        <v>52.571428571428569</v>
      </c>
      <c r="K92" s="27">
        <f t="shared" si="14"/>
        <v>1.0400530857035621E-3</v>
      </c>
      <c r="L92" s="28">
        <f>K92*Inputs!$C$4</f>
        <v>29.135007089813886</v>
      </c>
      <c r="M92" s="25">
        <f>IF(RANK(L92-INT(L92),$X$3:$X$141)+COUNTIF($X$3:X92,L92-INT(L92))-1&lt;=Inputs!$C$4-SUMPRODUCT(INT($L$3:$L$141)),1,0)</f>
        <v>0</v>
      </c>
      <c r="N92" s="25">
        <f t="shared" si="15"/>
        <v>29</v>
      </c>
      <c r="O92" s="24">
        <v>0</v>
      </c>
      <c r="P92" s="25">
        <f t="shared" si="16"/>
        <v>29</v>
      </c>
      <c r="X92" s="20">
        <f t="shared" si="17"/>
        <v>0.13500708981388598</v>
      </c>
    </row>
    <row r="93" spans="1:24" x14ac:dyDescent="0.25">
      <c r="A93" s="21" t="s">
        <v>171</v>
      </c>
      <c r="B93" s="22"/>
      <c r="C93" s="23">
        <v>92</v>
      </c>
      <c r="D93" s="24">
        <v>31</v>
      </c>
      <c r="E93" s="24">
        <v>8</v>
      </c>
      <c r="F93" s="24">
        <v>11</v>
      </c>
      <c r="G93" s="25">
        <f t="shared" si="12"/>
        <v>50</v>
      </c>
      <c r="H93" s="25">
        <f t="shared" si="13"/>
        <v>92</v>
      </c>
      <c r="I93" s="25">
        <f>MIN(MAX(H93,Inputs!$C$8),Inputs!$C$7)</f>
        <v>92</v>
      </c>
      <c r="J93" s="26">
        <f>IF(I93&gt;0,G93/I93*Inputs!$C$7,0)</f>
        <v>50</v>
      </c>
      <c r="K93" s="27">
        <f t="shared" si="14"/>
        <v>9.8918092390284451E-4</v>
      </c>
      <c r="L93" s="28">
        <f>K93*Inputs!$C$4</f>
        <v>27.709925221290383</v>
      </c>
      <c r="M93" s="25">
        <f>IF(RANK(L93-INT(L93),$X$3:$X$141)+COUNTIF($X$3:X93,L93-INT(L93))-1&lt;=Inputs!$C$4-SUMPRODUCT(INT($L$3:$L$141)),1,0)</f>
        <v>1</v>
      </c>
      <c r="N93" s="25">
        <f t="shared" si="15"/>
        <v>28</v>
      </c>
      <c r="O93" s="24">
        <v>105</v>
      </c>
      <c r="P93" s="25">
        <f t="shared" si="16"/>
        <v>-77</v>
      </c>
      <c r="X93" s="20">
        <f t="shared" si="17"/>
        <v>0.70992522129038349</v>
      </c>
    </row>
    <row r="94" spans="1:24" x14ac:dyDescent="0.25">
      <c r="A94" s="21" t="s">
        <v>172</v>
      </c>
      <c r="B94" s="22"/>
      <c r="C94" s="23">
        <v>92</v>
      </c>
      <c r="D94" s="24">
        <v>19</v>
      </c>
      <c r="E94" s="24">
        <v>17</v>
      </c>
      <c r="F94" s="24">
        <v>13</v>
      </c>
      <c r="G94" s="25">
        <f t="shared" si="12"/>
        <v>49</v>
      </c>
      <c r="H94" s="25">
        <f t="shared" si="13"/>
        <v>92</v>
      </c>
      <c r="I94" s="25">
        <f>MIN(MAX(H94,Inputs!$C$8),Inputs!$C$7)</f>
        <v>92</v>
      </c>
      <c r="J94" s="26">
        <f>IF(I94&gt;0,G94/I94*Inputs!$C$7,0)</f>
        <v>49</v>
      </c>
      <c r="K94" s="27">
        <f t="shared" si="14"/>
        <v>9.6939730542478755E-4</v>
      </c>
      <c r="L94" s="28">
        <f>K94*Inputs!$C$4</f>
        <v>27.155726716864574</v>
      </c>
      <c r="M94" s="25">
        <f>IF(RANK(L94-INT(L94),$X$3:$X$141)+COUNTIF($X$3:X94,L94-INT(L94))-1&lt;=Inputs!$C$4-SUMPRODUCT(INT($L$3:$L$141)),1,0)</f>
        <v>0</v>
      </c>
      <c r="N94" s="25">
        <f t="shared" si="15"/>
        <v>27</v>
      </c>
      <c r="O94" s="24">
        <v>33</v>
      </c>
      <c r="P94" s="25">
        <f t="shared" si="16"/>
        <v>-6</v>
      </c>
      <c r="X94" s="20">
        <f t="shared" si="17"/>
        <v>0.1557267168645744</v>
      </c>
    </row>
    <row r="95" spans="1:24" x14ac:dyDescent="0.25">
      <c r="A95" s="21" t="s">
        <v>173</v>
      </c>
      <c r="B95" s="22"/>
      <c r="C95" s="23">
        <v>92</v>
      </c>
      <c r="D95" s="24">
        <v>5</v>
      </c>
      <c r="E95" s="24">
        <v>14</v>
      </c>
      <c r="F95" s="24">
        <v>26</v>
      </c>
      <c r="G95" s="25">
        <f t="shared" si="12"/>
        <v>45</v>
      </c>
      <c r="H95" s="25">
        <f t="shared" si="13"/>
        <v>92</v>
      </c>
      <c r="I95" s="25">
        <f>MIN(MAX(H95,Inputs!$C$8),Inputs!$C$7)</f>
        <v>92</v>
      </c>
      <c r="J95" s="26">
        <f>IF(I95&gt;0,G95/I95*Inputs!$C$7,0)</f>
        <v>45</v>
      </c>
      <c r="K95" s="27">
        <f t="shared" si="14"/>
        <v>8.9026283151256004E-4</v>
      </c>
      <c r="L95" s="28">
        <f>K95*Inputs!$C$4</f>
        <v>24.938932699161345</v>
      </c>
      <c r="M95" s="25">
        <f>IF(RANK(L95-INT(L95),$X$3:$X$141)+COUNTIF($X$3:X95,L95-INT(L95))-1&lt;=Inputs!$C$4-SUMPRODUCT(INT($L$3:$L$141)),1,0)</f>
        <v>1</v>
      </c>
      <c r="N95" s="25">
        <f t="shared" si="15"/>
        <v>25</v>
      </c>
      <c r="O95" s="24">
        <v>11</v>
      </c>
      <c r="P95" s="25">
        <f t="shared" si="16"/>
        <v>14</v>
      </c>
      <c r="X95" s="20">
        <f t="shared" si="17"/>
        <v>0.93893269916134514</v>
      </c>
    </row>
    <row r="96" spans="1:24" x14ac:dyDescent="0.25">
      <c r="A96" s="21" t="s">
        <v>174</v>
      </c>
      <c r="B96" s="22"/>
      <c r="C96" s="23">
        <v>92</v>
      </c>
      <c r="D96" s="24">
        <v>22</v>
      </c>
      <c r="E96" s="24">
        <v>11</v>
      </c>
      <c r="F96" s="24">
        <v>4</v>
      </c>
      <c r="G96" s="25">
        <f t="shared" si="12"/>
        <v>37</v>
      </c>
      <c r="H96" s="25">
        <f t="shared" si="13"/>
        <v>92</v>
      </c>
      <c r="I96" s="25">
        <f>MIN(MAX(H96,Inputs!$C$8),Inputs!$C$7)</f>
        <v>92</v>
      </c>
      <c r="J96" s="26">
        <f>IF(I96&gt;0,G96/I96*Inputs!$C$7,0)</f>
        <v>37</v>
      </c>
      <c r="K96" s="27">
        <f t="shared" si="14"/>
        <v>7.3199388368810491E-4</v>
      </c>
      <c r="L96" s="28">
        <f>K96*Inputs!$C$4</f>
        <v>20.505344663754883</v>
      </c>
      <c r="M96" s="25">
        <f>IF(RANK(L96-INT(L96),$X$3:$X$141)+COUNTIF($X$3:X96,L96-INT(L96))-1&lt;=Inputs!$C$4-SUMPRODUCT(INT($L$3:$L$141)),1,0)</f>
        <v>0</v>
      </c>
      <c r="N96" s="25">
        <f t="shared" si="15"/>
        <v>20</v>
      </c>
      <c r="O96" s="24">
        <v>0</v>
      </c>
      <c r="P96" s="25">
        <f t="shared" si="16"/>
        <v>20</v>
      </c>
      <c r="X96" s="20">
        <f t="shared" si="17"/>
        <v>0.50534466375488307</v>
      </c>
    </row>
    <row r="97" spans="1:24" x14ac:dyDescent="0.25">
      <c r="A97" s="21" t="s">
        <v>175</v>
      </c>
      <c r="B97" s="22"/>
      <c r="C97" s="23">
        <v>92</v>
      </c>
      <c r="D97" s="24">
        <v>9</v>
      </c>
      <c r="E97" s="24">
        <v>19</v>
      </c>
      <c r="F97" s="24">
        <v>8</v>
      </c>
      <c r="G97" s="25">
        <f t="shared" si="12"/>
        <v>36</v>
      </c>
      <c r="H97" s="25">
        <f t="shared" si="13"/>
        <v>92</v>
      </c>
      <c r="I97" s="25">
        <f>MIN(MAX(H97,Inputs!$C$8),Inputs!$C$7)</f>
        <v>92</v>
      </c>
      <c r="J97" s="26">
        <f>IF(I97&gt;0,G97/I97*Inputs!$C$7,0)</f>
        <v>36</v>
      </c>
      <c r="K97" s="27">
        <f t="shared" si="14"/>
        <v>7.1221026521004805E-4</v>
      </c>
      <c r="L97" s="28">
        <f>K97*Inputs!$C$4</f>
        <v>19.951146159329078</v>
      </c>
      <c r="M97" s="25">
        <f>IF(RANK(L97-INT(L97),$X$3:$X$141)+COUNTIF($X$3:X97,L97-INT(L97))-1&lt;=Inputs!$C$4-SUMPRODUCT(INT($L$3:$L$141)),1,0)</f>
        <v>1</v>
      </c>
      <c r="N97" s="25">
        <f t="shared" si="15"/>
        <v>20</v>
      </c>
      <c r="O97" s="24">
        <v>22</v>
      </c>
      <c r="P97" s="25">
        <f t="shared" si="16"/>
        <v>-2</v>
      </c>
      <c r="X97" s="20">
        <f t="shared" si="17"/>
        <v>0.95114615932907753</v>
      </c>
    </row>
    <row r="98" spans="1:24" x14ac:dyDescent="0.25">
      <c r="A98" s="21" t="s">
        <v>176</v>
      </c>
      <c r="B98" s="22"/>
      <c r="C98" s="23">
        <v>92</v>
      </c>
      <c r="D98" s="24">
        <v>7</v>
      </c>
      <c r="E98" s="24">
        <v>13</v>
      </c>
      <c r="F98" s="24">
        <v>14</v>
      </c>
      <c r="G98" s="25">
        <f t="shared" si="12"/>
        <v>34</v>
      </c>
      <c r="H98" s="25">
        <f t="shared" si="13"/>
        <v>92</v>
      </c>
      <c r="I98" s="25">
        <f>MIN(MAX(H98,Inputs!$C$8),Inputs!$C$7)</f>
        <v>92</v>
      </c>
      <c r="J98" s="26">
        <f>IF(I98&gt;0,G98/I98*Inputs!$C$7,0)</f>
        <v>34</v>
      </c>
      <c r="K98" s="27">
        <f t="shared" si="14"/>
        <v>6.7264302825393424E-4</v>
      </c>
      <c r="L98" s="28">
        <f>K98*Inputs!$C$4</f>
        <v>18.842749150477459</v>
      </c>
      <c r="M98" s="25">
        <f>IF(RANK(L98-INT(L98),$X$3:$X$141)+COUNTIF($X$3:X98,L98-INT(L98))-1&lt;=Inputs!$C$4-SUMPRODUCT(INT($L$3:$L$141)),1,0)</f>
        <v>1</v>
      </c>
      <c r="N98" s="25">
        <f t="shared" si="15"/>
        <v>19</v>
      </c>
      <c r="O98" s="24">
        <v>0</v>
      </c>
      <c r="P98" s="25">
        <f t="shared" si="16"/>
        <v>19</v>
      </c>
      <c r="X98" s="20">
        <f t="shared" si="17"/>
        <v>0.84274915047745935</v>
      </c>
    </row>
    <row r="99" spans="1:24" x14ac:dyDescent="0.25">
      <c r="A99" s="21" t="s">
        <v>177</v>
      </c>
      <c r="B99" s="22"/>
      <c r="C99" s="23">
        <v>84</v>
      </c>
      <c r="D99" s="24">
        <v>9</v>
      </c>
      <c r="E99" s="24">
        <v>7</v>
      </c>
      <c r="F99" s="24">
        <v>15</v>
      </c>
      <c r="G99" s="25">
        <f t="shared" ref="G99:G130" si="18">SUM(D99:F99)</f>
        <v>31</v>
      </c>
      <c r="H99" s="25">
        <f t="shared" ref="H99:H130" si="19">C99</f>
        <v>84</v>
      </c>
      <c r="I99" s="25">
        <f>MIN(MAX(H99,Inputs!$C$8),Inputs!$C$7)</f>
        <v>84</v>
      </c>
      <c r="J99" s="26">
        <f>IF(I99&gt;0,G99/I99*Inputs!$C$7,0)</f>
        <v>33.952380952380956</v>
      </c>
      <c r="K99" s="27">
        <f t="shared" ref="K99:K130" si="20">J99/SUM($J$3:$J$141)</f>
        <v>6.7170095118355066E-4</v>
      </c>
      <c r="L99" s="28">
        <f>K99*Inputs!$C$4</f>
        <v>18.816358745504804</v>
      </c>
      <c r="M99" s="25">
        <f>IF(RANK(L99-INT(L99),$X$3:$X$141)+COUNTIF($X$3:X99,L99-INT(L99))-1&lt;=Inputs!$C$4-SUMPRODUCT(INT($L$3:$L$141)),1,0)</f>
        <v>1</v>
      </c>
      <c r="N99" s="25">
        <f t="shared" ref="N99:N130" si="21">INT(L99)+M99</f>
        <v>19</v>
      </c>
      <c r="O99" s="24">
        <v>11</v>
      </c>
      <c r="P99" s="25">
        <f t="shared" ref="P99:P130" si="22">IF(O99="","",N99-O99)</f>
        <v>8</v>
      </c>
      <c r="X99" s="20">
        <f t="shared" ref="X99:X130" si="23">L99-INT(L99)</f>
        <v>0.81635874550480381</v>
      </c>
    </row>
    <row r="100" spans="1:24" x14ac:dyDescent="0.25">
      <c r="A100" s="21" t="s">
        <v>178</v>
      </c>
      <c r="B100" s="22"/>
      <c r="C100" s="23">
        <v>92</v>
      </c>
      <c r="D100" s="24">
        <v>6</v>
      </c>
      <c r="E100" s="24">
        <v>10</v>
      </c>
      <c r="F100" s="24">
        <v>16</v>
      </c>
      <c r="G100" s="25">
        <f t="shared" si="18"/>
        <v>32</v>
      </c>
      <c r="H100" s="25">
        <f t="shared" si="19"/>
        <v>92</v>
      </c>
      <c r="I100" s="25">
        <f>MIN(MAX(H100,Inputs!$C$8),Inputs!$C$7)</f>
        <v>92</v>
      </c>
      <c r="J100" s="26">
        <f>IF(I100&gt;0,G100/I100*Inputs!$C$7,0)</f>
        <v>32</v>
      </c>
      <c r="K100" s="27">
        <f t="shared" si="20"/>
        <v>6.3307579129782043E-4</v>
      </c>
      <c r="L100" s="28">
        <f>K100*Inputs!$C$4</f>
        <v>17.734352141625845</v>
      </c>
      <c r="M100" s="25">
        <f>IF(RANK(L100-INT(L100),$X$3:$X$141)+COUNTIF($X$3:X100,L100-INT(L100))-1&lt;=Inputs!$C$4-SUMPRODUCT(INT($L$3:$L$141)),1,0)</f>
        <v>1</v>
      </c>
      <c r="N100" s="25">
        <f t="shared" si="21"/>
        <v>18</v>
      </c>
      <c r="O100" s="24">
        <v>11</v>
      </c>
      <c r="P100" s="25">
        <f t="shared" si="22"/>
        <v>7</v>
      </c>
      <c r="X100" s="20">
        <f t="shared" si="23"/>
        <v>0.73435214162584472</v>
      </c>
    </row>
    <row r="101" spans="1:24" x14ac:dyDescent="0.25">
      <c r="A101" s="21" t="s">
        <v>179</v>
      </c>
      <c r="B101" s="22"/>
      <c r="C101" s="23">
        <v>92</v>
      </c>
      <c r="D101" s="24">
        <v>13</v>
      </c>
      <c r="E101" s="24">
        <v>11</v>
      </c>
      <c r="F101" s="24">
        <v>6</v>
      </c>
      <c r="G101" s="25">
        <f t="shared" si="18"/>
        <v>30</v>
      </c>
      <c r="H101" s="25">
        <f t="shared" si="19"/>
        <v>92</v>
      </c>
      <c r="I101" s="25">
        <f>MIN(MAX(H101,Inputs!$C$8),Inputs!$C$7)</f>
        <v>92</v>
      </c>
      <c r="J101" s="26">
        <f>IF(I101&gt;0,G101/I101*Inputs!$C$7,0)</f>
        <v>30</v>
      </c>
      <c r="K101" s="27">
        <f t="shared" si="20"/>
        <v>5.9350855434170673E-4</v>
      </c>
      <c r="L101" s="28">
        <f>K101*Inputs!$C$4</f>
        <v>16.62595513277423</v>
      </c>
      <c r="M101" s="25">
        <f>IF(RANK(L101-INT(L101),$X$3:$X$141)+COUNTIF($X$3:X101,L101-INT(L101))-1&lt;=Inputs!$C$4-SUMPRODUCT(INT($L$3:$L$141)),1,0)</f>
        <v>1</v>
      </c>
      <c r="N101" s="25">
        <f t="shared" si="21"/>
        <v>17</v>
      </c>
      <c r="O101" s="24">
        <v>0</v>
      </c>
      <c r="P101" s="25">
        <f t="shared" si="22"/>
        <v>17</v>
      </c>
      <c r="X101" s="20">
        <f t="shared" si="23"/>
        <v>0.62595513277423009</v>
      </c>
    </row>
    <row r="102" spans="1:24" x14ac:dyDescent="0.25">
      <c r="A102" s="21" t="s">
        <v>180</v>
      </c>
      <c r="B102" s="22"/>
      <c r="C102" s="23">
        <v>92</v>
      </c>
      <c r="D102" s="24">
        <v>10</v>
      </c>
      <c r="E102" s="24">
        <v>14</v>
      </c>
      <c r="F102" s="24">
        <v>5</v>
      </c>
      <c r="G102" s="25">
        <f t="shared" si="18"/>
        <v>29</v>
      </c>
      <c r="H102" s="25">
        <f t="shared" si="19"/>
        <v>92</v>
      </c>
      <c r="I102" s="25">
        <f>MIN(MAX(H102,Inputs!$C$8),Inputs!$C$7)</f>
        <v>92</v>
      </c>
      <c r="J102" s="26">
        <f>IF(I102&gt;0,G102/I102*Inputs!$C$7,0)</f>
        <v>29</v>
      </c>
      <c r="K102" s="27">
        <f t="shared" si="20"/>
        <v>5.7372493586364977E-4</v>
      </c>
      <c r="L102" s="28">
        <f>K102*Inputs!$C$4</f>
        <v>16.071756628348421</v>
      </c>
      <c r="M102" s="25">
        <f>IF(RANK(L102-INT(L102),$X$3:$X$141)+COUNTIF($X$3:X102,L102-INT(L102))-1&lt;=Inputs!$C$4-SUMPRODUCT(INT($L$3:$L$141)),1,0)</f>
        <v>0</v>
      </c>
      <c r="N102" s="25">
        <f t="shared" si="21"/>
        <v>16</v>
      </c>
      <c r="O102" s="24">
        <v>0</v>
      </c>
      <c r="P102" s="25">
        <f t="shared" si="22"/>
        <v>16</v>
      </c>
      <c r="X102" s="20">
        <f t="shared" si="23"/>
        <v>7.1756628348421003E-2</v>
      </c>
    </row>
    <row r="103" spans="1:24" x14ac:dyDescent="0.25">
      <c r="A103" s="21" t="s">
        <v>181</v>
      </c>
      <c r="B103" s="22"/>
      <c r="C103" s="23">
        <v>6</v>
      </c>
      <c r="D103" s="24">
        <v>1</v>
      </c>
      <c r="E103" s="24">
        <v>1</v>
      </c>
      <c r="F103" s="24">
        <v>2</v>
      </c>
      <c r="G103" s="25">
        <f t="shared" si="18"/>
        <v>4</v>
      </c>
      <c r="H103" s="25">
        <f t="shared" si="19"/>
        <v>6</v>
      </c>
      <c r="I103" s="25">
        <f>MIN(MAX(H103,Inputs!$C$8),Inputs!$C$7)</f>
        <v>14</v>
      </c>
      <c r="J103" s="26">
        <f>IF(I103&gt;0,G103/I103*Inputs!$C$7,0)</f>
        <v>26.285714285714285</v>
      </c>
      <c r="K103" s="27">
        <f t="shared" si="20"/>
        <v>5.2002654285178104E-4</v>
      </c>
      <c r="L103" s="28">
        <f>K103*Inputs!$C$4</f>
        <v>14.567503544906943</v>
      </c>
      <c r="M103" s="25">
        <f>IF(RANK(L103-INT(L103),$X$3:$X$141)+COUNTIF($X$3:X103,L103-INT(L103))-1&lt;=Inputs!$C$4-SUMPRODUCT(INT($L$3:$L$141)),1,0)</f>
        <v>1</v>
      </c>
      <c r="N103" s="25">
        <f t="shared" si="21"/>
        <v>15</v>
      </c>
      <c r="O103" s="24">
        <v>0</v>
      </c>
      <c r="P103" s="25">
        <f t="shared" si="22"/>
        <v>15</v>
      </c>
      <c r="X103" s="20">
        <f t="shared" si="23"/>
        <v>0.56750354490694299</v>
      </c>
    </row>
    <row r="104" spans="1:24" x14ac:dyDescent="0.25">
      <c r="A104" s="21" t="s">
        <v>182</v>
      </c>
      <c r="B104" s="22"/>
      <c r="C104" s="23">
        <v>92</v>
      </c>
      <c r="D104" s="24">
        <v>13</v>
      </c>
      <c r="E104" s="24">
        <v>12</v>
      </c>
      <c r="F104" s="24">
        <v>3</v>
      </c>
      <c r="G104" s="25">
        <f t="shared" si="18"/>
        <v>28</v>
      </c>
      <c r="H104" s="25">
        <f t="shared" si="19"/>
        <v>92</v>
      </c>
      <c r="I104" s="25">
        <f>MIN(MAX(H104,Inputs!$C$8),Inputs!$C$7)</f>
        <v>92</v>
      </c>
      <c r="J104" s="26">
        <f>IF(I104&gt;0,G104/I104*Inputs!$C$7,0)</f>
        <v>28</v>
      </c>
      <c r="K104" s="27">
        <f t="shared" si="20"/>
        <v>5.5394131738559292E-4</v>
      </c>
      <c r="L104" s="28">
        <f>K104*Inputs!$C$4</f>
        <v>15.517558123922614</v>
      </c>
      <c r="M104" s="25">
        <f>IF(RANK(L104-INT(L104),$X$3:$X$141)+COUNTIF($X$3:X104,L104-INT(L104))-1&lt;=Inputs!$C$4-SUMPRODUCT(INT($L$3:$L$141)),1,0)</f>
        <v>0</v>
      </c>
      <c r="N104" s="25">
        <f t="shared" si="21"/>
        <v>15</v>
      </c>
      <c r="O104" s="24">
        <v>0</v>
      </c>
      <c r="P104" s="25">
        <f t="shared" si="22"/>
        <v>15</v>
      </c>
      <c r="X104" s="20">
        <f t="shared" si="23"/>
        <v>0.51755812392261369</v>
      </c>
    </row>
    <row r="105" spans="1:24" x14ac:dyDescent="0.25">
      <c r="A105" s="21" t="s">
        <v>183</v>
      </c>
      <c r="B105" s="22"/>
      <c r="C105" s="23">
        <v>21</v>
      </c>
      <c r="D105" s="24">
        <v>0</v>
      </c>
      <c r="E105" s="24">
        <v>6</v>
      </c>
      <c r="F105" s="24">
        <v>0</v>
      </c>
      <c r="G105" s="25">
        <f t="shared" si="18"/>
        <v>6</v>
      </c>
      <c r="H105" s="25">
        <f t="shared" si="19"/>
        <v>21</v>
      </c>
      <c r="I105" s="25">
        <f>MIN(MAX(H105,Inputs!$C$8),Inputs!$C$7)</f>
        <v>21</v>
      </c>
      <c r="J105" s="26">
        <f>IF(I105&gt;0,G105/I105*Inputs!$C$7,0)</f>
        <v>26.285714285714285</v>
      </c>
      <c r="K105" s="27">
        <f t="shared" si="20"/>
        <v>5.2002654285178104E-4</v>
      </c>
      <c r="L105" s="28">
        <f>K105*Inputs!$C$4</f>
        <v>14.567503544906943</v>
      </c>
      <c r="M105" s="25">
        <f>IF(RANK(L105-INT(L105),$X$3:$X$141)+COUNTIF($X$3:X105,L105-INT(L105))-1&lt;=Inputs!$C$4-SUMPRODUCT(INT($L$3:$L$141)),1,0)</f>
        <v>1</v>
      </c>
      <c r="N105" s="25">
        <f t="shared" si="21"/>
        <v>15</v>
      </c>
      <c r="O105" s="24">
        <v>0</v>
      </c>
      <c r="P105" s="25">
        <f t="shared" si="22"/>
        <v>15</v>
      </c>
      <c r="X105" s="20">
        <f t="shared" si="23"/>
        <v>0.56750354490694299</v>
      </c>
    </row>
    <row r="106" spans="1:24" x14ac:dyDescent="0.25">
      <c r="A106" s="21" t="s">
        <v>184</v>
      </c>
      <c r="B106" s="22"/>
      <c r="C106" s="23">
        <v>61</v>
      </c>
      <c r="D106" s="24">
        <v>6</v>
      </c>
      <c r="E106" s="24">
        <v>5</v>
      </c>
      <c r="F106" s="24">
        <v>6</v>
      </c>
      <c r="G106" s="25">
        <f t="shared" si="18"/>
        <v>17</v>
      </c>
      <c r="H106" s="25">
        <f t="shared" si="19"/>
        <v>61</v>
      </c>
      <c r="I106" s="25">
        <f>MIN(MAX(H106,Inputs!$C$8),Inputs!$C$7)</f>
        <v>61</v>
      </c>
      <c r="J106" s="26">
        <f>IF(I106&gt;0,G106/I106*Inputs!$C$7,0)</f>
        <v>25.639344262295079</v>
      </c>
      <c r="K106" s="27">
        <f t="shared" si="20"/>
        <v>5.0723900491280284E-4</v>
      </c>
      <c r="L106" s="28">
        <f>K106*Inputs!$C$4</f>
        <v>14.209286244622346</v>
      </c>
      <c r="M106" s="25">
        <f>IF(RANK(L106-INT(L106),$X$3:$X$141)+COUNTIF($X$3:X106,L106-INT(L106))-1&lt;=Inputs!$C$4-SUMPRODUCT(INT($L$3:$L$141)),1,0)</f>
        <v>0</v>
      </c>
      <c r="N106" s="25">
        <f t="shared" si="21"/>
        <v>14</v>
      </c>
      <c r="O106" s="24">
        <v>0</v>
      </c>
      <c r="P106" s="25">
        <f t="shared" si="22"/>
        <v>14</v>
      </c>
      <c r="X106" s="20">
        <f t="shared" si="23"/>
        <v>0.20928624462234602</v>
      </c>
    </row>
    <row r="107" spans="1:24" x14ac:dyDescent="0.25">
      <c r="A107" s="21" t="s">
        <v>185</v>
      </c>
      <c r="B107" s="22"/>
      <c r="C107" s="23">
        <v>87</v>
      </c>
      <c r="D107" s="24">
        <v>4</v>
      </c>
      <c r="E107" s="24">
        <v>10</v>
      </c>
      <c r="F107" s="24">
        <v>9</v>
      </c>
      <c r="G107" s="25">
        <f t="shared" si="18"/>
        <v>23</v>
      </c>
      <c r="H107" s="25">
        <f t="shared" si="19"/>
        <v>87</v>
      </c>
      <c r="I107" s="25">
        <f>MIN(MAX(H107,Inputs!$C$8),Inputs!$C$7)</f>
        <v>87</v>
      </c>
      <c r="J107" s="26">
        <f>IF(I107&gt;0,G107/I107*Inputs!$C$7,0)</f>
        <v>24.321839080459771</v>
      </c>
      <c r="K107" s="27">
        <f t="shared" si="20"/>
        <v>4.811739850525101E-4</v>
      </c>
      <c r="L107" s="28">
        <f>K107*Inputs!$C$4</f>
        <v>13.479126843275965</v>
      </c>
      <c r="M107" s="25">
        <f>IF(RANK(L107-INT(L107),$X$3:$X$141)+COUNTIF($X$3:X107,L107-INT(L107))-1&lt;=Inputs!$C$4-SUMPRODUCT(INT($L$3:$L$141)),1,0)</f>
        <v>0</v>
      </c>
      <c r="N107" s="25">
        <f t="shared" si="21"/>
        <v>13</v>
      </c>
      <c r="O107" s="24">
        <v>0</v>
      </c>
      <c r="P107" s="25">
        <f t="shared" si="22"/>
        <v>13</v>
      </c>
      <c r="X107" s="20">
        <f t="shared" si="23"/>
        <v>0.47912684327596544</v>
      </c>
    </row>
    <row r="108" spans="1:24" x14ac:dyDescent="0.25">
      <c r="A108" s="21" t="s">
        <v>186</v>
      </c>
      <c r="B108" s="22"/>
      <c r="C108" s="23">
        <v>92</v>
      </c>
      <c r="D108" s="24">
        <v>7</v>
      </c>
      <c r="E108" s="24">
        <v>11</v>
      </c>
      <c r="F108" s="24">
        <v>6</v>
      </c>
      <c r="G108" s="25">
        <f t="shared" si="18"/>
        <v>24</v>
      </c>
      <c r="H108" s="25">
        <f t="shared" si="19"/>
        <v>92</v>
      </c>
      <c r="I108" s="25">
        <f>MIN(MAX(H108,Inputs!$C$8),Inputs!$C$7)</f>
        <v>92</v>
      </c>
      <c r="J108" s="26">
        <f>IF(I108&gt;0,G108/I108*Inputs!$C$7,0)</f>
        <v>24</v>
      </c>
      <c r="K108" s="27">
        <f t="shared" si="20"/>
        <v>4.7480684347336535E-4</v>
      </c>
      <c r="L108" s="28">
        <f>K108*Inputs!$C$4</f>
        <v>13.300764106219384</v>
      </c>
      <c r="M108" s="25">
        <f>IF(RANK(L108-INT(L108),$X$3:$X$141)+COUNTIF($X$3:X108,L108-INT(L108))-1&lt;=Inputs!$C$4-SUMPRODUCT(INT($L$3:$L$141)),1,0)</f>
        <v>0</v>
      </c>
      <c r="N108" s="25">
        <f t="shared" si="21"/>
        <v>13</v>
      </c>
      <c r="O108" s="24">
        <v>17</v>
      </c>
      <c r="P108" s="25">
        <f t="shared" si="22"/>
        <v>-4</v>
      </c>
      <c r="X108" s="20">
        <f t="shared" si="23"/>
        <v>0.30076410621938443</v>
      </c>
    </row>
    <row r="109" spans="1:24" x14ac:dyDescent="0.25">
      <c r="A109" s="21" t="s">
        <v>187</v>
      </c>
      <c r="B109" s="22"/>
      <c r="C109" s="23">
        <v>92</v>
      </c>
      <c r="D109" s="24">
        <v>12</v>
      </c>
      <c r="E109" s="24">
        <v>5</v>
      </c>
      <c r="F109" s="24">
        <v>5</v>
      </c>
      <c r="G109" s="25">
        <f t="shared" si="18"/>
        <v>22</v>
      </c>
      <c r="H109" s="25">
        <f t="shared" si="19"/>
        <v>92</v>
      </c>
      <c r="I109" s="25">
        <f>MIN(MAX(H109,Inputs!$C$8),Inputs!$C$7)</f>
        <v>92</v>
      </c>
      <c r="J109" s="26">
        <f>IF(I109&gt;0,G109/I109*Inputs!$C$7,0)</f>
        <v>22</v>
      </c>
      <c r="K109" s="27">
        <f t="shared" si="20"/>
        <v>4.352396065172516E-4</v>
      </c>
      <c r="L109" s="28">
        <f>K109*Inputs!$C$4</f>
        <v>12.19236709736777</v>
      </c>
      <c r="M109" s="25">
        <f>IF(RANK(L109-INT(L109),$X$3:$X$141)+COUNTIF($X$3:X109,L109-INT(L109))-1&lt;=Inputs!$C$4-SUMPRODUCT(INT($L$3:$L$141)),1,0)</f>
        <v>0</v>
      </c>
      <c r="N109" s="25">
        <f t="shared" si="21"/>
        <v>12</v>
      </c>
      <c r="O109" s="24">
        <v>0</v>
      </c>
      <c r="P109" s="25">
        <f t="shared" si="22"/>
        <v>12</v>
      </c>
      <c r="X109" s="20">
        <f t="shared" si="23"/>
        <v>0.1923670973677698</v>
      </c>
    </row>
    <row r="110" spans="1:24" x14ac:dyDescent="0.25">
      <c r="A110" s="21" t="s">
        <v>188</v>
      </c>
      <c r="B110" s="22"/>
      <c r="C110" s="23">
        <v>23</v>
      </c>
      <c r="D110" s="24">
        <v>3</v>
      </c>
      <c r="E110" s="24">
        <v>1</v>
      </c>
      <c r="F110" s="24">
        <v>1</v>
      </c>
      <c r="G110" s="25">
        <f t="shared" si="18"/>
        <v>5</v>
      </c>
      <c r="H110" s="25">
        <f t="shared" si="19"/>
        <v>23</v>
      </c>
      <c r="I110" s="25">
        <f>MIN(MAX(H110,Inputs!$C$8),Inputs!$C$7)</f>
        <v>23</v>
      </c>
      <c r="J110" s="26">
        <f>IF(I110&gt;0,G110/I110*Inputs!$C$7,0)</f>
        <v>20</v>
      </c>
      <c r="K110" s="27">
        <f t="shared" si="20"/>
        <v>3.9567236956113778E-4</v>
      </c>
      <c r="L110" s="28">
        <f>K110*Inputs!$C$4</f>
        <v>11.083970088516153</v>
      </c>
      <c r="M110" s="25">
        <f>IF(RANK(L110-INT(L110),$X$3:$X$141)+COUNTIF($X$3:X110,L110-INT(L110))-1&lt;=Inputs!$C$4-SUMPRODUCT(INT($L$3:$L$141)),1,0)</f>
        <v>0</v>
      </c>
      <c r="N110" s="25">
        <f t="shared" si="21"/>
        <v>11</v>
      </c>
      <c r="O110" s="24">
        <v>0</v>
      </c>
      <c r="P110" s="25">
        <f t="shared" si="22"/>
        <v>11</v>
      </c>
      <c r="X110" s="20">
        <f t="shared" si="23"/>
        <v>8.3970088516153396E-2</v>
      </c>
    </row>
    <row r="111" spans="1:24" x14ac:dyDescent="0.25">
      <c r="A111" s="21" t="s">
        <v>189</v>
      </c>
      <c r="B111" s="22"/>
      <c r="C111" s="23">
        <v>92</v>
      </c>
      <c r="D111" s="24">
        <v>12</v>
      </c>
      <c r="E111" s="24">
        <v>6</v>
      </c>
      <c r="F111" s="24">
        <v>1</v>
      </c>
      <c r="G111" s="25">
        <f t="shared" si="18"/>
        <v>19</v>
      </c>
      <c r="H111" s="25">
        <f t="shared" si="19"/>
        <v>92</v>
      </c>
      <c r="I111" s="25">
        <f>MIN(MAX(H111,Inputs!$C$8),Inputs!$C$7)</f>
        <v>92</v>
      </c>
      <c r="J111" s="26">
        <f>IF(I111&gt;0,G111/I111*Inputs!$C$7,0)</f>
        <v>19</v>
      </c>
      <c r="K111" s="27">
        <f t="shared" si="20"/>
        <v>3.7588875108308088E-4</v>
      </c>
      <c r="L111" s="28">
        <f>K111*Inputs!$C$4</f>
        <v>10.529771584090344</v>
      </c>
      <c r="M111" s="25">
        <f>IF(RANK(L111-INT(L111),$X$3:$X$141)+COUNTIF($X$3:X111,L111-INT(L111))-1&lt;=Inputs!$C$4-SUMPRODUCT(INT($L$3:$L$141)),1,0)</f>
        <v>0</v>
      </c>
      <c r="N111" s="25">
        <f t="shared" si="21"/>
        <v>10</v>
      </c>
      <c r="O111" s="24">
        <v>11</v>
      </c>
      <c r="P111" s="25">
        <f t="shared" si="22"/>
        <v>-1</v>
      </c>
      <c r="X111" s="20">
        <f t="shared" si="23"/>
        <v>0.52977158409034431</v>
      </c>
    </row>
    <row r="112" spans="1:24" x14ac:dyDescent="0.25">
      <c r="A112" s="21" t="s">
        <v>190</v>
      </c>
      <c r="B112" s="22"/>
      <c r="C112" s="23">
        <v>92</v>
      </c>
      <c r="D112" s="24">
        <v>5</v>
      </c>
      <c r="E112" s="24">
        <v>6</v>
      </c>
      <c r="F112" s="24">
        <v>6</v>
      </c>
      <c r="G112" s="25">
        <f t="shared" si="18"/>
        <v>17</v>
      </c>
      <c r="H112" s="25">
        <f t="shared" si="19"/>
        <v>92</v>
      </c>
      <c r="I112" s="25">
        <f>MIN(MAX(H112,Inputs!$C$8),Inputs!$C$7)</f>
        <v>92</v>
      </c>
      <c r="J112" s="26">
        <f>IF(I112&gt;0,G112/I112*Inputs!$C$7,0)</f>
        <v>17</v>
      </c>
      <c r="K112" s="27">
        <f t="shared" si="20"/>
        <v>3.3632151412696712E-4</v>
      </c>
      <c r="L112" s="28">
        <f>K112*Inputs!$C$4</f>
        <v>9.4213745752387297</v>
      </c>
      <c r="M112" s="25">
        <f>IF(RANK(L112-INT(L112),$X$3:$X$141)+COUNTIF($X$3:X112,L112-INT(L112))-1&lt;=Inputs!$C$4-SUMPRODUCT(INT($L$3:$L$141)),1,0)</f>
        <v>0</v>
      </c>
      <c r="N112" s="25">
        <f t="shared" si="21"/>
        <v>9</v>
      </c>
      <c r="O112" s="24">
        <v>11</v>
      </c>
      <c r="P112" s="25">
        <f t="shared" si="22"/>
        <v>-2</v>
      </c>
      <c r="X112" s="20">
        <f t="shared" si="23"/>
        <v>0.42137457523872968</v>
      </c>
    </row>
    <row r="113" spans="1:24" x14ac:dyDescent="0.25">
      <c r="A113" s="21" t="s">
        <v>191</v>
      </c>
      <c r="B113" s="22"/>
      <c r="C113" s="23">
        <v>92</v>
      </c>
      <c r="D113" s="24">
        <v>3</v>
      </c>
      <c r="E113" s="24">
        <v>5</v>
      </c>
      <c r="F113" s="24">
        <v>8</v>
      </c>
      <c r="G113" s="25">
        <f t="shared" si="18"/>
        <v>16</v>
      </c>
      <c r="H113" s="25">
        <f t="shared" si="19"/>
        <v>92</v>
      </c>
      <c r="I113" s="25">
        <f>MIN(MAX(H113,Inputs!$C$8),Inputs!$C$7)</f>
        <v>92</v>
      </c>
      <c r="J113" s="26">
        <f>IF(I113&gt;0,G113/I113*Inputs!$C$7,0)</f>
        <v>16</v>
      </c>
      <c r="K113" s="27">
        <f t="shared" si="20"/>
        <v>3.1653789564891022E-4</v>
      </c>
      <c r="L113" s="28">
        <f>K113*Inputs!$C$4</f>
        <v>8.8671760708129224</v>
      </c>
      <c r="M113" s="25">
        <f>IF(RANK(L113-INT(L113),$X$3:$X$141)+COUNTIF($X$3:X113,L113-INT(L113))-1&lt;=Inputs!$C$4-SUMPRODUCT(INT($L$3:$L$141)),1,0)</f>
        <v>1</v>
      </c>
      <c r="N113" s="25">
        <f t="shared" si="21"/>
        <v>9</v>
      </c>
      <c r="O113" s="24">
        <v>0</v>
      </c>
      <c r="P113" s="25">
        <f t="shared" si="22"/>
        <v>9</v>
      </c>
      <c r="X113" s="20">
        <f t="shared" si="23"/>
        <v>0.86717607081292236</v>
      </c>
    </row>
    <row r="114" spans="1:24" x14ac:dyDescent="0.25">
      <c r="A114" s="21" t="s">
        <v>192</v>
      </c>
      <c r="B114" s="22"/>
      <c r="C114" s="23">
        <v>92</v>
      </c>
      <c r="D114" s="24">
        <v>1</v>
      </c>
      <c r="E114" s="24">
        <v>9</v>
      </c>
      <c r="F114" s="24">
        <v>5</v>
      </c>
      <c r="G114" s="25">
        <f t="shared" si="18"/>
        <v>15</v>
      </c>
      <c r="H114" s="25">
        <f t="shared" si="19"/>
        <v>92</v>
      </c>
      <c r="I114" s="25">
        <f>MIN(MAX(H114,Inputs!$C$8),Inputs!$C$7)</f>
        <v>92</v>
      </c>
      <c r="J114" s="26">
        <f>IF(I114&gt;0,G114/I114*Inputs!$C$7,0)</f>
        <v>15</v>
      </c>
      <c r="K114" s="27">
        <f t="shared" si="20"/>
        <v>2.9675427717085337E-4</v>
      </c>
      <c r="L114" s="28">
        <f>K114*Inputs!$C$4</f>
        <v>8.312977566387115</v>
      </c>
      <c r="M114" s="25">
        <f>IF(RANK(L114-INT(L114),$X$3:$X$141)+COUNTIF($X$3:X114,L114-INT(L114))-1&lt;=Inputs!$C$4-SUMPRODUCT(INT($L$3:$L$141)),1,0)</f>
        <v>0</v>
      </c>
      <c r="N114" s="25">
        <f t="shared" si="21"/>
        <v>8</v>
      </c>
      <c r="O114" s="24">
        <v>0</v>
      </c>
      <c r="P114" s="25">
        <f t="shared" si="22"/>
        <v>8</v>
      </c>
      <c r="X114" s="20">
        <f t="shared" si="23"/>
        <v>0.31297756638711505</v>
      </c>
    </row>
    <row r="115" spans="1:24" x14ac:dyDescent="0.25">
      <c r="A115" s="21" t="s">
        <v>193</v>
      </c>
      <c r="B115" s="22"/>
      <c r="C115" s="23">
        <v>64</v>
      </c>
      <c r="D115" s="24">
        <v>4</v>
      </c>
      <c r="E115" s="24">
        <v>4</v>
      </c>
      <c r="F115" s="24">
        <v>2</v>
      </c>
      <c r="G115" s="25">
        <f t="shared" si="18"/>
        <v>10</v>
      </c>
      <c r="H115" s="25">
        <f t="shared" si="19"/>
        <v>64</v>
      </c>
      <c r="I115" s="25">
        <f>MIN(MAX(H115,Inputs!$C$8),Inputs!$C$7)</f>
        <v>64</v>
      </c>
      <c r="J115" s="26">
        <f>IF(I115&gt;0,G115/I115*Inputs!$C$7,0)</f>
        <v>14.375</v>
      </c>
      <c r="K115" s="27">
        <f t="shared" si="20"/>
        <v>2.8438951562206779E-4</v>
      </c>
      <c r="L115" s="28">
        <f>K115*Inputs!$C$4</f>
        <v>7.9666035011209848</v>
      </c>
      <c r="M115" s="25">
        <f>IF(RANK(L115-INT(L115),$X$3:$X$141)+COUNTIF($X$3:X115,L115-INT(L115))-1&lt;=Inputs!$C$4-SUMPRODUCT(INT($L$3:$L$141)),1,0)</f>
        <v>1</v>
      </c>
      <c r="N115" s="25">
        <f t="shared" si="21"/>
        <v>8</v>
      </c>
      <c r="O115" s="24">
        <v>0</v>
      </c>
      <c r="P115" s="25">
        <f t="shared" si="22"/>
        <v>8</v>
      </c>
      <c r="X115" s="20">
        <f t="shared" si="23"/>
        <v>0.96660350112098481</v>
      </c>
    </row>
    <row r="116" spans="1:24" x14ac:dyDescent="0.25">
      <c r="A116" s="21" t="s">
        <v>194</v>
      </c>
      <c r="B116" s="22"/>
      <c r="C116" s="23">
        <v>92</v>
      </c>
      <c r="D116" s="24">
        <v>3</v>
      </c>
      <c r="E116" s="24">
        <v>9</v>
      </c>
      <c r="F116" s="24">
        <v>0</v>
      </c>
      <c r="G116" s="25">
        <f t="shared" si="18"/>
        <v>12</v>
      </c>
      <c r="H116" s="25">
        <f t="shared" si="19"/>
        <v>92</v>
      </c>
      <c r="I116" s="25">
        <f>MIN(MAX(H116,Inputs!$C$8),Inputs!$C$7)</f>
        <v>92</v>
      </c>
      <c r="J116" s="26">
        <f>IF(I116&gt;0,G116/I116*Inputs!$C$7,0)</f>
        <v>12</v>
      </c>
      <c r="K116" s="27">
        <f t="shared" si="20"/>
        <v>2.3740342173668268E-4</v>
      </c>
      <c r="L116" s="28">
        <f>K116*Inputs!$C$4</f>
        <v>6.6503820531096922</v>
      </c>
      <c r="M116" s="25">
        <f>IF(RANK(L116-INT(L116),$X$3:$X$141)+COUNTIF($X$3:X116,L116-INT(L116))-1&lt;=Inputs!$C$4-SUMPRODUCT(INT($L$3:$L$141)),1,0)</f>
        <v>1</v>
      </c>
      <c r="N116" s="25">
        <f t="shared" si="21"/>
        <v>7</v>
      </c>
      <c r="O116" s="24">
        <v>0</v>
      </c>
      <c r="P116" s="25">
        <f t="shared" si="22"/>
        <v>7</v>
      </c>
      <c r="X116" s="20">
        <f t="shared" si="23"/>
        <v>0.65038205310969222</v>
      </c>
    </row>
    <row r="117" spans="1:24" x14ac:dyDescent="0.25">
      <c r="A117" s="21" t="s">
        <v>195</v>
      </c>
      <c r="B117" s="22"/>
      <c r="C117" s="23">
        <v>58</v>
      </c>
      <c r="D117" s="24">
        <v>3</v>
      </c>
      <c r="E117" s="24">
        <v>3</v>
      </c>
      <c r="F117" s="24">
        <v>1</v>
      </c>
      <c r="G117" s="25">
        <f t="shared" si="18"/>
        <v>7</v>
      </c>
      <c r="H117" s="25">
        <f t="shared" si="19"/>
        <v>58</v>
      </c>
      <c r="I117" s="25">
        <f>MIN(MAX(H117,Inputs!$C$8),Inputs!$C$7)</f>
        <v>58</v>
      </c>
      <c r="J117" s="26">
        <f>IF(I117&gt;0,G117/I117*Inputs!$C$7,0)</f>
        <v>11.103448275862069</v>
      </c>
      <c r="K117" s="27">
        <f t="shared" si="20"/>
        <v>2.1966638448049376E-4</v>
      </c>
      <c r="L117" s="28">
        <f>K117*Inputs!$C$4</f>
        <v>6.1535144284520715</v>
      </c>
      <c r="M117" s="25">
        <f>IF(RANK(L117-INT(L117),$X$3:$X$141)+COUNTIF($X$3:X117,L117-INT(L117))-1&lt;=Inputs!$C$4-SUMPRODUCT(INT($L$3:$L$141)),1,0)</f>
        <v>0</v>
      </c>
      <c r="N117" s="25">
        <f t="shared" si="21"/>
        <v>6</v>
      </c>
      <c r="O117" s="24">
        <v>0</v>
      </c>
      <c r="P117" s="25">
        <f t="shared" si="22"/>
        <v>6</v>
      </c>
      <c r="X117" s="20">
        <f t="shared" si="23"/>
        <v>0.15351442845207153</v>
      </c>
    </row>
    <row r="118" spans="1:24" x14ac:dyDescent="0.25">
      <c r="A118" s="21" t="s">
        <v>196</v>
      </c>
      <c r="B118" s="22"/>
      <c r="C118" s="23">
        <v>92</v>
      </c>
      <c r="D118" s="24">
        <v>1</v>
      </c>
      <c r="E118" s="24">
        <v>4</v>
      </c>
      <c r="F118" s="24">
        <v>4</v>
      </c>
      <c r="G118" s="25">
        <f t="shared" si="18"/>
        <v>9</v>
      </c>
      <c r="H118" s="25">
        <f t="shared" si="19"/>
        <v>92</v>
      </c>
      <c r="I118" s="25">
        <f>MIN(MAX(H118,Inputs!$C$8),Inputs!$C$7)</f>
        <v>92</v>
      </c>
      <c r="J118" s="26">
        <f>IF(I118&gt;0,G118/I118*Inputs!$C$7,0)</f>
        <v>9</v>
      </c>
      <c r="K118" s="27">
        <f t="shared" si="20"/>
        <v>1.7805256630251201E-4</v>
      </c>
      <c r="L118" s="28">
        <f>K118*Inputs!$C$4</f>
        <v>4.9877865398322694</v>
      </c>
      <c r="M118" s="25">
        <f>IF(RANK(L118-INT(L118),$X$3:$X$141)+COUNTIF($X$3:X118,L118-INT(L118))-1&lt;=Inputs!$C$4-SUMPRODUCT(INT($L$3:$L$141)),1,0)</f>
        <v>1</v>
      </c>
      <c r="N118" s="25">
        <f t="shared" si="21"/>
        <v>5</v>
      </c>
      <c r="O118" s="24">
        <v>0</v>
      </c>
      <c r="P118" s="25">
        <f t="shared" si="22"/>
        <v>5</v>
      </c>
      <c r="X118" s="20">
        <f t="shared" si="23"/>
        <v>0.98778653983226938</v>
      </c>
    </row>
    <row r="119" spans="1:24" x14ac:dyDescent="0.25">
      <c r="A119" s="21" t="s">
        <v>197</v>
      </c>
      <c r="B119" s="22"/>
      <c r="C119" s="23">
        <v>85</v>
      </c>
      <c r="D119" s="24">
        <v>5</v>
      </c>
      <c r="E119" s="24">
        <v>4</v>
      </c>
      <c r="F119" s="24">
        <v>0</v>
      </c>
      <c r="G119" s="25">
        <f t="shared" si="18"/>
        <v>9</v>
      </c>
      <c r="H119" s="25">
        <f t="shared" si="19"/>
        <v>85</v>
      </c>
      <c r="I119" s="25">
        <f>MIN(MAX(H119,Inputs!$C$8),Inputs!$C$7)</f>
        <v>85</v>
      </c>
      <c r="J119" s="26">
        <f>IF(I119&gt;0,G119/I119*Inputs!$C$7,0)</f>
        <v>9.7411764705882344</v>
      </c>
      <c r="K119" s="27">
        <f t="shared" si="20"/>
        <v>1.927157188215424E-4</v>
      </c>
      <c r="L119" s="28">
        <f>K119*Inputs!$C$4</f>
        <v>5.3985454313478671</v>
      </c>
      <c r="M119" s="25">
        <f>IF(RANK(L119-INT(L119),$X$3:$X$141)+COUNTIF($X$3:X119,L119-INT(L119))-1&lt;=Inputs!$C$4-SUMPRODUCT(INT($L$3:$L$141)),1,0)</f>
        <v>0</v>
      </c>
      <c r="N119" s="25">
        <f t="shared" si="21"/>
        <v>5</v>
      </c>
      <c r="O119" s="24">
        <v>0</v>
      </c>
      <c r="P119" s="25">
        <f t="shared" si="22"/>
        <v>5</v>
      </c>
      <c r="X119" s="20">
        <f t="shared" si="23"/>
        <v>0.39854543134786713</v>
      </c>
    </row>
    <row r="120" spans="1:24" x14ac:dyDescent="0.25">
      <c r="A120" s="21" t="s">
        <v>198</v>
      </c>
      <c r="B120" s="22"/>
      <c r="C120" s="23">
        <v>92</v>
      </c>
      <c r="D120" s="24">
        <v>1</v>
      </c>
      <c r="E120" s="24">
        <v>5</v>
      </c>
      <c r="F120" s="24">
        <v>3</v>
      </c>
      <c r="G120" s="25">
        <f t="shared" si="18"/>
        <v>9</v>
      </c>
      <c r="H120" s="25">
        <f t="shared" si="19"/>
        <v>92</v>
      </c>
      <c r="I120" s="25">
        <f>MIN(MAX(H120,Inputs!$C$8),Inputs!$C$7)</f>
        <v>92</v>
      </c>
      <c r="J120" s="26">
        <f>IF(I120&gt;0,G120/I120*Inputs!$C$7,0)</f>
        <v>9</v>
      </c>
      <c r="K120" s="27">
        <f t="shared" si="20"/>
        <v>1.7805256630251201E-4</v>
      </c>
      <c r="L120" s="28">
        <f>K120*Inputs!$C$4</f>
        <v>4.9877865398322694</v>
      </c>
      <c r="M120" s="25">
        <f>IF(RANK(L120-INT(L120),$X$3:$X$141)+COUNTIF($X$3:X120,L120-INT(L120))-1&lt;=Inputs!$C$4-SUMPRODUCT(INT($L$3:$L$141)),1,0)</f>
        <v>1</v>
      </c>
      <c r="N120" s="25">
        <f t="shared" si="21"/>
        <v>5</v>
      </c>
      <c r="O120" s="24">
        <v>0</v>
      </c>
      <c r="P120" s="25">
        <f t="shared" si="22"/>
        <v>5</v>
      </c>
      <c r="X120" s="20">
        <f t="shared" si="23"/>
        <v>0.98778653983226938</v>
      </c>
    </row>
    <row r="121" spans="1:24" x14ac:dyDescent="0.25">
      <c r="A121" s="21" t="s">
        <v>199</v>
      </c>
      <c r="B121" s="22"/>
      <c r="C121" s="23">
        <v>92</v>
      </c>
      <c r="D121" s="24">
        <v>2</v>
      </c>
      <c r="E121" s="24">
        <v>3</v>
      </c>
      <c r="F121" s="24">
        <v>4</v>
      </c>
      <c r="G121" s="25">
        <f t="shared" si="18"/>
        <v>9</v>
      </c>
      <c r="H121" s="25">
        <f t="shared" si="19"/>
        <v>92</v>
      </c>
      <c r="I121" s="25">
        <f>MIN(MAX(H121,Inputs!$C$8),Inputs!$C$7)</f>
        <v>92</v>
      </c>
      <c r="J121" s="26">
        <f>IF(I121&gt;0,G121/I121*Inputs!$C$7,0)</f>
        <v>9</v>
      </c>
      <c r="K121" s="27">
        <f t="shared" si="20"/>
        <v>1.7805256630251201E-4</v>
      </c>
      <c r="L121" s="28">
        <f>K121*Inputs!$C$4</f>
        <v>4.9877865398322694</v>
      </c>
      <c r="M121" s="25">
        <f>IF(RANK(L121-INT(L121),$X$3:$X$141)+COUNTIF($X$3:X121,L121-INT(L121))-1&lt;=Inputs!$C$4-SUMPRODUCT(INT($L$3:$L$141)),1,0)</f>
        <v>1</v>
      </c>
      <c r="N121" s="25">
        <f t="shared" si="21"/>
        <v>5</v>
      </c>
      <c r="O121" s="24">
        <v>0</v>
      </c>
      <c r="P121" s="25">
        <f t="shared" si="22"/>
        <v>5</v>
      </c>
      <c r="X121" s="20">
        <f t="shared" si="23"/>
        <v>0.98778653983226938</v>
      </c>
    </row>
    <row r="122" spans="1:24" x14ac:dyDescent="0.25">
      <c r="A122" s="21" t="s">
        <v>200</v>
      </c>
      <c r="B122" s="22"/>
      <c r="C122" s="23">
        <v>92</v>
      </c>
      <c r="D122" s="24">
        <v>4</v>
      </c>
      <c r="E122" s="24">
        <v>3</v>
      </c>
      <c r="F122" s="24">
        <v>0</v>
      </c>
      <c r="G122" s="25">
        <f t="shared" si="18"/>
        <v>7</v>
      </c>
      <c r="H122" s="25">
        <f t="shared" si="19"/>
        <v>92</v>
      </c>
      <c r="I122" s="25">
        <f>MIN(MAX(H122,Inputs!$C$8),Inputs!$C$7)</f>
        <v>92</v>
      </c>
      <c r="J122" s="26">
        <f>IF(I122&gt;0,G122/I122*Inputs!$C$7,0)</f>
        <v>7</v>
      </c>
      <c r="K122" s="27">
        <f t="shared" si="20"/>
        <v>1.3848532934639823E-4</v>
      </c>
      <c r="L122" s="28">
        <f>K122*Inputs!$C$4</f>
        <v>3.8793895309806534</v>
      </c>
      <c r="M122" s="25">
        <f>IF(RANK(L122-INT(L122),$X$3:$X$141)+COUNTIF($X$3:X122,L122-INT(L122))-1&lt;=Inputs!$C$4-SUMPRODUCT(INT($L$3:$L$141)),1,0)</f>
        <v>1</v>
      </c>
      <c r="N122" s="25">
        <f t="shared" si="21"/>
        <v>4</v>
      </c>
      <c r="O122" s="24">
        <v>11</v>
      </c>
      <c r="P122" s="25">
        <f t="shared" si="22"/>
        <v>-7</v>
      </c>
      <c r="X122" s="20">
        <f t="shared" si="23"/>
        <v>0.87938953098065342</v>
      </c>
    </row>
    <row r="123" spans="1:24" x14ac:dyDescent="0.25">
      <c r="A123" s="21" t="s">
        <v>201</v>
      </c>
      <c r="B123" s="22"/>
      <c r="C123" s="23">
        <v>92</v>
      </c>
      <c r="D123" s="24">
        <v>3</v>
      </c>
      <c r="E123" s="24">
        <v>3</v>
      </c>
      <c r="F123" s="24">
        <v>2</v>
      </c>
      <c r="G123" s="25">
        <f t="shared" si="18"/>
        <v>8</v>
      </c>
      <c r="H123" s="25">
        <f t="shared" si="19"/>
        <v>92</v>
      </c>
      <c r="I123" s="25">
        <f>MIN(MAX(H123,Inputs!$C$8),Inputs!$C$7)</f>
        <v>92</v>
      </c>
      <c r="J123" s="26">
        <f>IF(I123&gt;0,G123/I123*Inputs!$C$7,0)</f>
        <v>8</v>
      </c>
      <c r="K123" s="27">
        <f t="shared" si="20"/>
        <v>1.5826894782445511E-4</v>
      </c>
      <c r="L123" s="28">
        <f>K123*Inputs!$C$4</f>
        <v>4.4335880354064612</v>
      </c>
      <c r="M123" s="25">
        <f>IF(RANK(L123-INT(L123),$X$3:$X$141)+COUNTIF($X$3:X123,L123-INT(L123))-1&lt;=Inputs!$C$4-SUMPRODUCT(INT($L$3:$L$141)),1,0)</f>
        <v>0</v>
      </c>
      <c r="N123" s="25">
        <f t="shared" si="21"/>
        <v>4</v>
      </c>
      <c r="O123" s="24">
        <v>0</v>
      </c>
      <c r="P123" s="25">
        <f t="shared" si="22"/>
        <v>4</v>
      </c>
      <c r="X123" s="20">
        <f t="shared" si="23"/>
        <v>0.43358803540646118</v>
      </c>
    </row>
    <row r="124" spans="1:24" x14ac:dyDescent="0.25">
      <c r="A124" s="21" t="s">
        <v>202</v>
      </c>
      <c r="B124" s="22"/>
      <c r="C124" s="23">
        <v>92</v>
      </c>
      <c r="D124" s="24">
        <v>3</v>
      </c>
      <c r="E124" s="24">
        <v>3</v>
      </c>
      <c r="F124" s="24">
        <v>2</v>
      </c>
      <c r="G124" s="25">
        <f t="shared" si="18"/>
        <v>8</v>
      </c>
      <c r="H124" s="25">
        <f t="shared" si="19"/>
        <v>92</v>
      </c>
      <c r="I124" s="25">
        <f>MIN(MAX(H124,Inputs!$C$8),Inputs!$C$7)</f>
        <v>92</v>
      </c>
      <c r="J124" s="26">
        <f>IF(I124&gt;0,G124/I124*Inputs!$C$7,0)</f>
        <v>8</v>
      </c>
      <c r="K124" s="27">
        <f t="shared" si="20"/>
        <v>1.5826894782445511E-4</v>
      </c>
      <c r="L124" s="28">
        <f>K124*Inputs!$C$4</f>
        <v>4.4335880354064612</v>
      </c>
      <c r="M124" s="25">
        <f>IF(RANK(L124-INT(L124),$X$3:$X$141)+COUNTIF($X$3:X124,L124-INT(L124))-1&lt;=Inputs!$C$4-SUMPRODUCT(INT($L$3:$L$141)),1,0)</f>
        <v>0</v>
      </c>
      <c r="N124" s="25">
        <f t="shared" si="21"/>
        <v>4</v>
      </c>
      <c r="O124" s="24">
        <v>0</v>
      </c>
      <c r="P124" s="25">
        <f t="shared" si="22"/>
        <v>4</v>
      </c>
      <c r="X124" s="20">
        <f t="shared" si="23"/>
        <v>0.43358803540646118</v>
      </c>
    </row>
    <row r="125" spans="1:24" x14ac:dyDescent="0.25">
      <c r="A125" s="21" t="s">
        <v>203</v>
      </c>
      <c r="B125" s="22"/>
      <c r="C125" s="23">
        <v>68</v>
      </c>
      <c r="D125" s="24">
        <v>1</v>
      </c>
      <c r="E125" s="24">
        <v>1</v>
      </c>
      <c r="F125" s="24">
        <v>4</v>
      </c>
      <c r="G125" s="25">
        <f t="shared" si="18"/>
        <v>6</v>
      </c>
      <c r="H125" s="25">
        <f t="shared" si="19"/>
        <v>68</v>
      </c>
      <c r="I125" s="25">
        <f>MIN(MAX(H125,Inputs!$C$8),Inputs!$C$7)</f>
        <v>68</v>
      </c>
      <c r="J125" s="26">
        <f>IF(I125&gt;0,G125/I125*Inputs!$C$7,0)</f>
        <v>8.1176470588235308</v>
      </c>
      <c r="K125" s="27">
        <f t="shared" si="20"/>
        <v>1.6059643235128535E-4</v>
      </c>
      <c r="L125" s="28">
        <f>K125*Inputs!$C$4</f>
        <v>4.4987878594565567</v>
      </c>
      <c r="M125" s="25">
        <f>IF(RANK(L125-INT(L125),$X$3:$X$141)+COUNTIF($X$3:X125,L125-INT(L125))-1&lt;=Inputs!$C$4-SUMPRODUCT(INT($L$3:$L$141)),1,0)</f>
        <v>0</v>
      </c>
      <c r="N125" s="25">
        <f t="shared" si="21"/>
        <v>4</v>
      </c>
      <c r="O125" s="24">
        <v>0</v>
      </c>
      <c r="P125" s="25">
        <f t="shared" si="22"/>
        <v>4</v>
      </c>
      <c r="X125" s="20">
        <f t="shared" si="23"/>
        <v>0.49878785945655668</v>
      </c>
    </row>
    <row r="126" spans="1:24" x14ac:dyDescent="0.25">
      <c r="A126" s="21" t="s">
        <v>204</v>
      </c>
      <c r="B126" s="22"/>
      <c r="C126" s="23">
        <v>1</v>
      </c>
      <c r="D126" s="24">
        <v>0</v>
      </c>
      <c r="E126" s="24">
        <v>1</v>
      </c>
      <c r="F126" s="24">
        <v>0</v>
      </c>
      <c r="G126" s="25">
        <f t="shared" si="18"/>
        <v>1</v>
      </c>
      <c r="H126" s="25">
        <f t="shared" si="19"/>
        <v>1</v>
      </c>
      <c r="I126" s="25">
        <f>MIN(MAX(H126,Inputs!$C$8),Inputs!$C$7)</f>
        <v>14</v>
      </c>
      <c r="J126" s="26">
        <f>IF(I126&gt;0,G126/I126*Inputs!$C$7,0)</f>
        <v>6.5714285714285712</v>
      </c>
      <c r="K126" s="27">
        <f t="shared" si="20"/>
        <v>1.3000663571294526E-4</v>
      </c>
      <c r="L126" s="28">
        <f>K126*Inputs!$C$4</f>
        <v>3.6418758862267357</v>
      </c>
      <c r="M126" s="25">
        <f>IF(RANK(L126-INT(L126),$X$3:$X$141)+COUNTIF($X$3:X126,L126-INT(L126))-1&lt;=Inputs!$C$4-SUMPRODUCT(INT($L$3:$L$141)),1,0)</f>
        <v>1</v>
      </c>
      <c r="N126" s="25">
        <f t="shared" si="21"/>
        <v>4</v>
      </c>
      <c r="O126" s="24">
        <v>0</v>
      </c>
      <c r="P126" s="25">
        <f t="shared" si="22"/>
        <v>4</v>
      </c>
      <c r="X126" s="20">
        <f t="shared" si="23"/>
        <v>0.64187588622673575</v>
      </c>
    </row>
    <row r="127" spans="1:24" x14ac:dyDescent="0.25">
      <c r="A127" s="21" t="s">
        <v>205</v>
      </c>
      <c r="B127" s="22"/>
      <c r="C127" s="23">
        <v>4</v>
      </c>
      <c r="D127" s="24">
        <v>1</v>
      </c>
      <c r="E127" s="24">
        <v>0</v>
      </c>
      <c r="F127" s="24">
        <v>0</v>
      </c>
      <c r="G127" s="25">
        <f t="shared" si="18"/>
        <v>1</v>
      </c>
      <c r="H127" s="25">
        <f t="shared" si="19"/>
        <v>4</v>
      </c>
      <c r="I127" s="25">
        <f>MIN(MAX(H127,Inputs!$C$8),Inputs!$C$7)</f>
        <v>14</v>
      </c>
      <c r="J127" s="26">
        <f>IF(I127&gt;0,G127/I127*Inputs!$C$7,0)</f>
        <v>6.5714285714285712</v>
      </c>
      <c r="K127" s="27">
        <f t="shared" si="20"/>
        <v>1.3000663571294526E-4</v>
      </c>
      <c r="L127" s="28">
        <f>K127*Inputs!$C$4</f>
        <v>3.6418758862267357</v>
      </c>
      <c r="M127" s="25">
        <f>IF(RANK(L127-INT(L127),$X$3:$X$141)+COUNTIF($X$3:X127,L127-INT(L127))-1&lt;=Inputs!$C$4-SUMPRODUCT(INT($L$3:$L$141)),1,0)</f>
        <v>1</v>
      </c>
      <c r="N127" s="25">
        <f t="shared" si="21"/>
        <v>4</v>
      </c>
      <c r="O127" s="24">
        <v>0</v>
      </c>
      <c r="P127" s="25">
        <f t="shared" si="22"/>
        <v>4</v>
      </c>
      <c r="X127" s="20">
        <f t="shared" si="23"/>
        <v>0.64187588622673575</v>
      </c>
    </row>
    <row r="128" spans="1:24" x14ac:dyDescent="0.25">
      <c r="A128" s="21" t="s">
        <v>206</v>
      </c>
      <c r="B128" s="22"/>
      <c r="C128" s="23">
        <v>92</v>
      </c>
      <c r="D128" s="24">
        <v>3</v>
      </c>
      <c r="E128" s="24">
        <v>3</v>
      </c>
      <c r="F128" s="24">
        <v>1</v>
      </c>
      <c r="G128" s="25">
        <f t="shared" si="18"/>
        <v>7</v>
      </c>
      <c r="H128" s="25">
        <f t="shared" si="19"/>
        <v>92</v>
      </c>
      <c r="I128" s="25">
        <f>MIN(MAX(H128,Inputs!$C$8),Inputs!$C$7)</f>
        <v>92</v>
      </c>
      <c r="J128" s="26">
        <f>IF(I128&gt;0,G128/I128*Inputs!$C$7,0)</f>
        <v>7</v>
      </c>
      <c r="K128" s="27">
        <f t="shared" si="20"/>
        <v>1.3848532934639823E-4</v>
      </c>
      <c r="L128" s="28">
        <f>K128*Inputs!$C$4</f>
        <v>3.8793895309806534</v>
      </c>
      <c r="M128" s="25">
        <f>IF(RANK(L128-INT(L128),$X$3:$X$141)+COUNTIF($X$3:X128,L128-INT(L128))-1&lt;=Inputs!$C$4-SUMPRODUCT(INT($L$3:$L$141)),1,0)</f>
        <v>1</v>
      </c>
      <c r="N128" s="25">
        <f t="shared" si="21"/>
        <v>4</v>
      </c>
      <c r="O128" s="24">
        <v>0</v>
      </c>
      <c r="P128" s="25">
        <f t="shared" si="22"/>
        <v>4</v>
      </c>
      <c r="X128" s="20">
        <f t="shared" si="23"/>
        <v>0.87938953098065342</v>
      </c>
    </row>
    <row r="129" spans="1:24" x14ac:dyDescent="0.25">
      <c r="A129" s="21" t="s">
        <v>207</v>
      </c>
      <c r="B129" s="22"/>
      <c r="C129" s="23">
        <v>3</v>
      </c>
      <c r="D129" s="24">
        <v>1</v>
      </c>
      <c r="E129" s="24">
        <v>0</v>
      </c>
      <c r="F129" s="24">
        <v>0</v>
      </c>
      <c r="G129" s="25">
        <f t="shared" si="18"/>
        <v>1</v>
      </c>
      <c r="H129" s="25">
        <f t="shared" si="19"/>
        <v>3</v>
      </c>
      <c r="I129" s="25">
        <f>MIN(MAX(H129,Inputs!$C$8),Inputs!$C$7)</f>
        <v>14</v>
      </c>
      <c r="J129" s="26">
        <f>IF(I129&gt;0,G129/I129*Inputs!$C$7,0)</f>
        <v>6.5714285714285712</v>
      </c>
      <c r="K129" s="27">
        <f t="shared" si="20"/>
        <v>1.3000663571294526E-4</v>
      </c>
      <c r="L129" s="28">
        <f>K129*Inputs!$C$4</f>
        <v>3.6418758862267357</v>
      </c>
      <c r="M129" s="25">
        <f>IF(RANK(L129-INT(L129),$X$3:$X$141)+COUNTIF($X$3:X129,L129-INT(L129))-1&lt;=Inputs!$C$4-SUMPRODUCT(INT($L$3:$L$141)),1,0)</f>
        <v>1</v>
      </c>
      <c r="N129" s="25">
        <f t="shared" si="21"/>
        <v>4</v>
      </c>
      <c r="O129" s="24">
        <v>0</v>
      </c>
      <c r="P129" s="25">
        <f t="shared" si="22"/>
        <v>4</v>
      </c>
      <c r="X129" s="20">
        <f t="shared" si="23"/>
        <v>0.64187588622673575</v>
      </c>
    </row>
    <row r="130" spans="1:24" x14ac:dyDescent="0.25">
      <c r="A130" s="21" t="s">
        <v>208</v>
      </c>
      <c r="B130" s="22"/>
      <c r="C130" s="23">
        <v>92</v>
      </c>
      <c r="D130" s="24">
        <v>0</v>
      </c>
      <c r="E130" s="24">
        <v>2</v>
      </c>
      <c r="F130" s="24">
        <v>5</v>
      </c>
      <c r="G130" s="25">
        <f t="shared" si="18"/>
        <v>7</v>
      </c>
      <c r="H130" s="25">
        <f t="shared" si="19"/>
        <v>92</v>
      </c>
      <c r="I130" s="25">
        <f>MIN(MAX(H130,Inputs!$C$8),Inputs!$C$7)</f>
        <v>92</v>
      </c>
      <c r="J130" s="26">
        <f>IF(I130&gt;0,G130/I130*Inputs!$C$7,0)</f>
        <v>7</v>
      </c>
      <c r="K130" s="27">
        <f t="shared" si="20"/>
        <v>1.3848532934639823E-4</v>
      </c>
      <c r="L130" s="28">
        <f>K130*Inputs!$C$4</f>
        <v>3.8793895309806534</v>
      </c>
      <c r="M130" s="25">
        <f>IF(RANK(L130-INT(L130),$X$3:$X$141)+COUNTIF($X$3:X130,L130-INT(L130))-1&lt;=Inputs!$C$4-SUMPRODUCT(INT($L$3:$L$141)),1,0)</f>
        <v>1</v>
      </c>
      <c r="N130" s="25">
        <f t="shared" si="21"/>
        <v>4</v>
      </c>
      <c r="O130" s="24">
        <v>0</v>
      </c>
      <c r="P130" s="25">
        <f t="shared" si="22"/>
        <v>4</v>
      </c>
      <c r="X130" s="20">
        <f t="shared" si="23"/>
        <v>0.87938953098065342</v>
      </c>
    </row>
    <row r="131" spans="1:24" x14ac:dyDescent="0.25">
      <c r="A131" s="21" t="s">
        <v>209</v>
      </c>
      <c r="B131" s="22"/>
      <c r="C131" s="23">
        <v>10</v>
      </c>
      <c r="D131" s="24">
        <v>1</v>
      </c>
      <c r="E131" s="24">
        <v>0</v>
      </c>
      <c r="F131" s="24">
        <v>0</v>
      </c>
      <c r="G131" s="25">
        <f t="shared" ref="G131:G162" si="24">SUM(D131:F131)</f>
        <v>1</v>
      </c>
      <c r="H131" s="25">
        <f t="shared" ref="H131:H141" si="25">C131</f>
        <v>10</v>
      </c>
      <c r="I131" s="25">
        <f>MIN(MAX(H131,Inputs!$C$8),Inputs!$C$7)</f>
        <v>14</v>
      </c>
      <c r="J131" s="26">
        <f>IF(I131&gt;0,G131/I131*Inputs!$C$7,0)</f>
        <v>6.5714285714285712</v>
      </c>
      <c r="K131" s="27">
        <f t="shared" ref="K131:K162" si="26">J131/SUM($J$3:$J$141)</f>
        <v>1.3000663571294526E-4</v>
      </c>
      <c r="L131" s="28">
        <f>K131*Inputs!$C$4</f>
        <v>3.6418758862267357</v>
      </c>
      <c r="M131" s="25">
        <f>IF(RANK(L131-INT(L131),$X$3:$X$141)+COUNTIF($X$3:X131,L131-INT(L131))-1&lt;=Inputs!$C$4-SUMPRODUCT(INT($L$3:$L$141)),1,0)</f>
        <v>1</v>
      </c>
      <c r="N131" s="25">
        <f t="shared" ref="N131:N162" si="27">INT(L131)+M131</f>
        <v>4</v>
      </c>
      <c r="O131" s="24">
        <v>0</v>
      </c>
      <c r="P131" s="25">
        <f t="shared" ref="P131:P162" si="28">IF(O131="","",N131-O131)</f>
        <v>4</v>
      </c>
      <c r="X131" s="20">
        <f t="shared" ref="X131:X141" si="29">L131-INT(L131)</f>
        <v>0.64187588622673575</v>
      </c>
    </row>
    <row r="132" spans="1:24" x14ac:dyDescent="0.25">
      <c r="A132" s="21" t="s">
        <v>210</v>
      </c>
      <c r="B132" s="22"/>
      <c r="C132" s="23">
        <v>1</v>
      </c>
      <c r="D132" s="24">
        <v>0</v>
      </c>
      <c r="E132" s="24">
        <v>1</v>
      </c>
      <c r="F132" s="24">
        <v>0</v>
      </c>
      <c r="G132" s="25">
        <f t="shared" si="24"/>
        <v>1</v>
      </c>
      <c r="H132" s="25">
        <f t="shared" si="25"/>
        <v>1</v>
      </c>
      <c r="I132" s="25">
        <f>MIN(MAX(H132,Inputs!$C$8),Inputs!$C$7)</f>
        <v>14</v>
      </c>
      <c r="J132" s="26">
        <f>IF(I132&gt;0,G132/I132*Inputs!$C$7,0)</f>
        <v>6.5714285714285712</v>
      </c>
      <c r="K132" s="27">
        <f t="shared" si="26"/>
        <v>1.3000663571294526E-4</v>
      </c>
      <c r="L132" s="28">
        <f>K132*Inputs!$C$4</f>
        <v>3.6418758862267357</v>
      </c>
      <c r="M132" s="25">
        <f>IF(RANK(L132-INT(L132),$X$3:$X$141)+COUNTIF($X$3:X132,L132-INT(L132))-1&lt;=Inputs!$C$4-SUMPRODUCT(INT($L$3:$L$141)),1,0)</f>
        <v>1</v>
      </c>
      <c r="N132" s="25">
        <f t="shared" si="27"/>
        <v>4</v>
      </c>
      <c r="O132" s="24">
        <v>0</v>
      </c>
      <c r="P132" s="25">
        <f t="shared" si="28"/>
        <v>4</v>
      </c>
      <c r="X132" s="20">
        <f t="shared" si="29"/>
        <v>0.64187588622673575</v>
      </c>
    </row>
    <row r="133" spans="1:24" x14ac:dyDescent="0.25">
      <c r="A133" s="21" t="s">
        <v>211</v>
      </c>
      <c r="B133" s="22"/>
      <c r="C133" s="23">
        <v>67</v>
      </c>
      <c r="D133" s="24">
        <v>3</v>
      </c>
      <c r="E133" s="24">
        <v>0</v>
      </c>
      <c r="F133" s="24">
        <v>1</v>
      </c>
      <c r="G133" s="25">
        <f t="shared" si="24"/>
        <v>4</v>
      </c>
      <c r="H133" s="25">
        <f t="shared" si="25"/>
        <v>67</v>
      </c>
      <c r="I133" s="25">
        <f>MIN(MAX(H133,Inputs!$C$8),Inputs!$C$7)</f>
        <v>67</v>
      </c>
      <c r="J133" s="26">
        <f>IF(I133&gt;0,G133/I133*Inputs!$C$7,0)</f>
        <v>5.4925373134328357</v>
      </c>
      <c r="K133" s="27">
        <f t="shared" si="26"/>
        <v>1.086622626854468E-4</v>
      </c>
      <c r="L133" s="28">
        <f>K133*Inputs!$C$4</f>
        <v>3.043955964607421</v>
      </c>
      <c r="M133" s="25">
        <f>IF(RANK(L133-INT(L133),$X$3:$X$141)+COUNTIF($X$3:X133,L133-INT(L133))-1&lt;=Inputs!$C$4-SUMPRODUCT(INT($L$3:$L$141)),1,0)</f>
        <v>0</v>
      </c>
      <c r="N133" s="25">
        <f t="shared" si="27"/>
        <v>3</v>
      </c>
      <c r="O133" s="24">
        <v>0</v>
      </c>
      <c r="P133" s="25">
        <f t="shared" si="28"/>
        <v>3</v>
      </c>
      <c r="X133" s="20">
        <f t="shared" si="29"/>
        <v>4.3955964607421016E-2</v>
      </c>
    </row>
    <row r="134" spans="1:24" x14ac:dyDescent="0.25">
      <c r="A134" s="21" t="s">
        <v>212</v>
      </c>
      <c r="B134" s="22"/>
      <c r="C134" s="23">
        <v>92</v>
      </c>
      <c r="D134" s="24">
        <v>2</v>
      </c>
      <c r="E134" s="24">
        <v>1</v>
      </c>
      <c r="F134" s="24">
        <v>0</v>
      </c>
      <c r="G134" s="25">
        <f t="shared" si="24"/>
        <v>3</v>
      </c>
      <c r="H134" s="25">
        <f t="shared" si="25"/>
        <v>92</v>
      </c>
      <c r="I134" s="25">
        <f>MIN(MAX(H134,Inputs!$C$8),Inputs!$C$7)</f>
        <v>92</v>
      </c>
      <c r="J134" s="26">
        <f>IF(I134&gt;0,G134/I134*Inputs!$C$7,0)</f>
        <v>3</v>
      </c>
      <c r="K134" s="27">
        <f t="shared" si="26"/>
        <v>5.9350855434170669E-5</v>
      </c>
      <c r="L134" s="28">
        <f>K134*Inputs!$C$4</f>
        <v>1.6625955132774231</v>
      </c>
      <c r="M134" s="25">
        <f>IF(RANK(L134-INT(L134),$X$3:$X$141)+COUNTIF($X$3:X134,L134-INT(L134))-1&lt;=Inputs!$C$4-SUMPRODUCT(INT($L$3:$L$141)),1,0)</f>
        <v>1</v>
      </c>
      <c r="N134" s="25">
        <f t="shared" si="27"/>
        <v>2</v>
      </c>
      <c r="O134" s="24">
        <v>0</v>
      </c>
      <c r="P134" s="25">
        <f t="shared" si="28"/>
        <v>2</v>
      </c>
      <c r="X134" s="20">
        <f t="shared" si="29"/>
        <v>0.66259551327742305</v>
      </c>
    </row>
    <row r="135" spans="1:24" x14ac:dyDescent="0.25">
      <c r="A135" s="21" t="s">
        <v>213</v>
      </c>
      <c r="B135" s="22"/>
      <c r="C135" s="23">
        <v>49</v>
      </c>
      <c r="D135" s="24">
        <v>2</v>
      </c>
      <c r="E135" s="24">
        <v>0</v>
      </c>
      <c r="F135" s="24">
        <v>0</v>
      </c>
      <c r="G135" s="25">
        <f t="shared" si="24"/>
        <v>2</v>
      </c>
      <c r="H135" s="25">
        <f t="shared" si="25"/>
        <v>49</v>
      </c>
      <c r="I135" s="25">
        <f>MIN(MAX(H135,Inputs!$C$8),Inputs!$C$7)</f>
        <v>49</v>
      </c>
      <c r="J135" s="26">
        <f>IF(I135&gt;0,G135/I135*Inputs!$C$7,0)</f>
        <v>3.7551020408163263</v>
      </c>
      <c r="K135" s="27">
        <f t="shared" si="26"/>
        <v>7.4289506121683009E-5</v>
      </c>
      <c r="L135" s="28">
        <f>K135*Inputs!$C$4</f>
        <v>2.081071934986706</v>
      </c>
      <c r="M135" s="25">
        <f>IF(RANK(L135-INT(L135),$X$3:$X$141)+COUNTIF($X$3:X135,L135-INT(L135))-1&lt;=Inputs!$C$4-SUMPRODUCT(INT($L$3:$L$141)),1,0)</f>
        <v>0</v>
      </c>
      <c r="N135" s="25">
        <f t="shared" si="27"/>
        <v>2</v>
      </c>
      <c r="O135" s="24">
        <v>0</v>
      </c>
      <c r="P135" s="25">
        <f t="shared" si="28"/>
        <v>2</v>
      </c>
      <c r="X135" s="20">
        <f t="shared" si="29"/>
        <v>8.1071934986705951E-2</v>
      </c>
    </row>
    <row r="136" spans="1:24" x14ac:dyDescent="0.25">
      <c r="A136" s="21" t="s">
        <v>214</v>
      </c>
      <c r="B136" s="22"/>
      <c r="C136" s="23">
        <v>92</v>
      </c>
      <c r="D136" s="24">
        <v>2</v>
      </c>
      <c r="E136" s="24">
        <v>0</v>
      </c>
      <c r="F136" s="24">
        <v>2</v>
      </c>
      <c r="G136" s="25">
        <f t="shared" si="24"/>
        <v>4</v>
      </c>
      <c r="H136" s="25">
        <f t="shared" si="25"/>
        <v>92</v>
      </c>
      <c r="I136" s="25">
        <f>MIN(MAX(H136,Inputs!$C$8),Inputs!$C$7)</f>
        <v>92</v>
      </c>
      <c r="J136" s="26">
        <f>IF(I136&gt;0,G136/I136*Inputs!$C$7,0)</f>
        <v>4</v>
      </c>
      <c r="K136" s="27">
        <f t="shared" si="26"/>
        <v>7.9134473912227554E-5</v>
      </c>
      <c r="L136" s="28">
        <f>K136*Inputs!$C$4</f>
        <v>2.2167940177032306</v>
      </c>
      <c r="M136" s="25">
        <f>IF(RANK(L136-INT(L136),$X$3:$X$141)+COUNTIF($X$3:X136,L136-INT(L136))-1&lt;=Inputs!$C$4-SUMPRODUCT(INT($L$3:$L$141)),1,0)</f>
        <v>0</v>
      </c>
      <c r="N136" s="25">
        <f t="shared" si="27"/>
        <v>2</v>
      </c>
      <c r="O136" s="24">
        <v>0</v>
      </c>
      <c r="P136" s="25">
        <f t="shared" si="28"/>
        <v>2</v>
      </c>
      <c r="X136" s="20">
        <f t="shared" si="29"/>
        <v>0.21679401770323059</v>
      </c>
    </row>
    <row r="137" spans="1:24" x14ac:dyDescent="0.25">
      <c r="A137" s="21" t="s">
        <v>215</v>
      </c>
      <c r="B137" s="22"/>
      <c r="C137" s="23">
        <v>33</v>
      </c>
      <c r="D137" s="24">
        <v>1</v>
      </c>
      <c r="E137" s="24">
        <v>0</v>
      </c>
      <c r="F137" s="24">
        <v>0</v>
      </c>
      <c r="G137" s="25">
        <f t="shared" si="24"/>
        <v>1</v>
      </c>
      <c r="H137" s="25">
        <f t="shared" si="25"/>
        <v>33</v>
      </c>
      <c r="I137" s="25">
        <f>MIN(MAX(H137,Inputs!$C$8),Inputs!$C$7)</f>
        <v>33</v>
      </c>
      <c r="J137" s="26">
        <f>IF(I137&gt;0,G137/I137*Inputs!$C$7,0)</f>
        <v>2.7878787878787881</v>
      </c>
      <c r="K137" s="27">
        <f t="shared" si="26"/>
        <v>5.5154330302461639E-5</v>
      </c>
      <c r="L137" s="28">
        <f>K137*Inputs!$C$4</f>
        <v>1.5450382547628578</v>
      </c>
      <c r="M137" s="25">
        <f>IF(RANK(L137-INT(L137),$X$3:$X$141)+COUNTIF($X$3:X137,L137-INT(L137))-1&lt;=Inputs!$C$4-SUMPRODUCT(INT($L$3:$L$141)),1,0)</f>
        <v>1</v>
      </c>
      <c r="N137" s="25">
        <f t="shared" si="27"/>
        <v>2</v>
      </c>
      <c r="O137" s="24">
        <v>0</v>
      </c>
      <c r="P137" s="25">
        <f t="shared" si="28"/>
        <v>2</v>
      </c>
      <c r="X137" s="20">
        <f t="shared" si="29"/>
        <v>0.54503825476285783</v>
      </c>
    </row>
    <row r="138" spans="1:24" x14ac:dyDescent="0.25">
      <c r="A138" s="21" t="s">
        <v>216</v>
      </c>
      <c r="B138" s="22"/>
      <c r="C138" s="23">
        <v>92</v>
      </c>
      <c r="D138" s="24">
        <v>0</v>
      </c>
      <c r="E138" s="24">
        <v>3</v>
      </c>
      <c r="F138" s="24">
        <v>1</v>
      </c>
      <c r="G138" s="25">
        <f t="shared" si="24"/>
        <v>4</v>
      </c>
      <c r="H138" s="25">
        <f t="shared" si="25"/>
        <v>92</v>
      </c>
      <c r="I138" s="25">
        <f>MIN(MAX(H138,Inputs!$C$8),Inputs!$C$7)</f>
        <v>92</v>
      </c>
      <c r="J138" s="26">
        <f>IF(I138&gt;0,G138/I138*Inputs!$C$7,0)</f>
        <v>4</v>
      </c>
      <c r="K138" s="27">
        <f t="shared" si="26"/>
        <v>7.9134473912227554E-5</v>
      </c>
      <c r="L138" s="28">
        <f>K138*Inputs!$C$4</f>
        <v>2.2167940177032306</v>
      </c>
      <c r="M138" s="25">
        <f>IF(RANK(L138-INT(L138),$X$3:$X$141)+COUNTIF($X$3:X138,L138-INT(L138))-1&lt;=Inputs!$C$4-SUMPRODUCT(INT($L$3:$L$141)),1,0)</f>
        <v>0</v>
      </c>
      <c r="N138" s="25">
        <f t="shared" si="27"/>
        <v>2</v>
      </c>
      <c r="O138" s="24">
        <v>0</v>
      </c>
      <c r="P138" s="25">
        <f t="shared" si="28"/>
        <v>2</v>
      </c>
      <c r="X138" s="20">
        <f t="shared" si="29"/>
        <v>0.21679401770323059</v>
      </c>
    </row>
    <row r="139" spans="1:24" x14ac:dyDescent="0.25">
      <c r="A139" s="21" t="s">
        <v>217</v>
      </c>
      <c r="B139" s="22"/>
      <c r="C139" s="23">
        <v>92</v>
      </c>
      <c r="D139" s="24">
        <v>1</v>
      </c>
      <c r="E139" s="24">
        <v>1</v>
      </c>
      <c r="F139" s="24">
        <v>0</v>
      </c>
      <c r="G139" s="25">
        <f t="shared" si="24"/>
        <v>2</v>
      </c>
      <c r="H139" s="25">
        <f t="shared" si="25"/>
        <v>92</v>
      </c>
      <c r="I139" s="25">
        <f>MIN(MAX(H139,Inputs!$C$8),Inputs!$C$7)</f>
        <v>92</v>
      </c>
      <c r="J139" s="26">
        <f>IF(I139&gt;0,G139/I139*Inputs!$C$7,0)</f>
        <v>2</v>
      </c>
      <c r="K139" s="27">
        <f t="shared" si="26"/>
        <v>3.9567236956113777E-5</v>
      </c>
      <c r="L139" s="28">
        <f>K139*Inputs!$C$4</f>
        <v>1.1083970088516153</v>
      </c>
      <c r="M139" s="25">
        <f>IF(RANK(L139-INT(L139),$X$3:$X$141)+COUNTIF($X$3:X139,L139-INT(L139))-1&lt;=Inputs!$C$4-SUMPRODUCT(INT($L$3:$L$141)),1,0)</f>
        <v>0</v>
      </c>
      <c r="N139" s="25">
        <f t="shared" si="27"/>
        <v>1</v>
      </c>
      <c r="O139" s="24">
        <v>0</v>
      </c>
      <c r="P139" s="25">
        <f t="shared" si="28"/>
        <v>1</v>
      </c>
      <c r="X139" s="20">
        <f t="shared" si="29"/>
        <v>0.1083970088516153</v>
      </c>
    </row>
    <row r="140" spans="1:24" x14ac:dyDescent="0.25">
      <c r="A140" s="21" t="s">
        <v>218</v>
      </c>
      <c r="B140" s="22"/>
      <c r="C140" s="23">
        <v>92</v>
      </c>
      <c r="D140" s="24">
        <v>1</v>
      </c>
      <c r="E140" s="24">
        <v>0</v>
      </c>
      <c r="F140" s="24">
        <v>0</v>
      </c>
      <c r="G140" s="25">
        <f t="shared" si="24"/>
        <v>1</v>
      </c>
      <c r="H140" s="25">
        <f t="shared" si="25"/>
        <v>92</v>
      </c>
      <c r="I140" s="25">
        <f>MIN(MAX(H140,Inputs!$C$8),Inputs!$C$7)</f>
        <v>92</v>
      </c>
      <c r="J140" s="26">
        <f>IF(I140&gt;0,G140/I140*Inputs!$C$7,0)</f>
        <v>1</v>
      </c>
      <c r="K140" s="27">
        <f t="shared" si="26"/>
        <v>1.9783618478056889E-5</v>
      </c>
      <c r="L140" s="28">
        <f>K140*Inputs!$C$4</f>
        <v>0.55419850442580765</v>
      </c>
      <c r="M140" s="25">
        <f>IF(RANK(L140-INT(L140),$X$3:$X$141)+COUNTIF($X$3:X140,L140-INT(L140))-1&lt;=Inputs!$C$4-SUMPRODUCT(INT($L$3:$L$141)),1,0)</f>
        <v>1</v>
      </c>
      <c r="N140" s="25">
        <f t="shared" si="27"/>
        <v>1</v>
      </c>
      <c r="O140" s="24">
        <v>0</v>
      </c>
      <c r="P140" s="25">
        <f t="shared" si="28"/>
        <v>1</v>
      </c>
      <c r="X140" s="20">
        <f t="shared" si="29"/>
        <v>0.55419850442580765</v>
      </c>
    </row>
    <row r="141" spans="1:24" x14ac:dyDescent="0.25">
      <c r="A141" s="21" t="s">
        <v>219</v>
      </c>
      <c r="B141" s="22"/>
      <c r="C141" s="23">
        <v>73</v>
      </c>
      <c r="D141" s="24">
        <v>0</v>
      </c>
      <c r="E141" s="24">
        <v>0</v>
      </c>
      <c r="F141" s="24">
        <v>1</v>
      </c>
      <c r="G141" s="25">
        <f t="shared" si="24"/>
        <v>1</v>
      </c>
      <c r="H141" s="25">
        <f t="shared" si="25"/>
        <v>73</v>
      </c>
      <c r="I141" s="25">
        <f>MIN(MAX(H141,Inputs!$C$8),Inputs!$C$7)</f>
        <v>73</v>
      </c>
      <c r="J141" s="26">
        <f>IF(I141&gt;0,G141/I141*Inputs!$C$7,0)</f>
        <v>1.2602739726027397</v>
      </c>
      <c r="K141" s="27">
        <f t="shared" si="26"/>
        <v>2.4932779451797723E-5</v>
      </c>
      <c r="L141" s="28">
        <f>K141*Inputs!$C$4</f>
        <v>0.69844195078320959</v>
      </c>
      <c r="M141" s="25">
        <f>IF(RANK(L141-INT(L141),$X$3:$X$141)+COUNTIF($X$3:X141,L141-INT(L141))-1&lt;=Inputs!$C$4-SUMPRODUCT(INT($L$3:$L$141)),1,0)</f>
        <v>1</v>
      </c>
      <c r="N141" s="25">
        <f t="shared" si="27"/>
        <v>1</v>
      </c>
      <c r="O141" s="24">
        <v>0</v>
      </c>
      <c r="P141" s="25">
        <f t="shared" si="28"/>
        <v>1</v>
      </c>
      <c r="X141" s="20">
        <f t="shared" si="29"/>
        <v>0.69844195078320959</v>
      </c>
    </row>
    <row r="142" spans="1:24" x14ac:dyDescent="0.25">
      <c r="A142" s="16" t="s">
        <v>220</v>
      </c>
      <c r="G142" s="29">
        <f>SUM(G3:G141)</f>
        <v>50279</v>
      </c>
      <c r="J142" s="30">
        <f t="shared" ref="J142:O142" si="30">SUM(J3:J141)</f>
        <v>50546.870437738959</v>
      </c>
      <c r="K142" s="31">
        <f t="shared" si="30"/>
        <v>1</v>
      </c>
      <c r="L142" s="32">
        <f t="shared" si="30"/>
        <v>28012.999999999996</v>
      </c>
      <c r="M142" s="29">
        <f t="shared" si="30"/>
        <v>72</v>
      </c>
      <c r="N142" s="29">
        <f t="shared" si="30"/>
        <v>28013</v>
      </c>
      <c r="O142" s="29">
        <f t="shared" si="30"/>
        <v>26841</v>
      </c>
    </row>
    <row r="143" spans="1:24" x14ac:dyDescent="0.25">
      <c r="A143" s="33" t="s">
        <v>221</v>
      </c>
      <c r="N143" s="16" t="str">
        <f>IF(N142=Inputs!$C$4,"OK","MISMATCH")</f>
        <v>OK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Method</vt:lpstr>
      <vt:lpstr>Inputs</vt:lpstr>
      <vt:lpstr>Bag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Witty</cp:lastModifiedBy>
  <dcterms:created xsi:type="dcterms:W3CDTF">2026-10-04T20:42:28Z</dcterms:created>
  <dcterms:modified xsi:type="dcterms:W3CDTF">2026-10-04T20:42:47Z</dcterms:modified>
</cp:coreProperties>
</file>